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ptop_data_agres" sheetId="1" r:id="rId5"/>
  </sheets>
  <definedNames/>
  <calcPr/>
</workbook>
</file>

<file path=xl/sharedStrings.xml><?xml version="1.0" encoding="utf-8"?>
<sst xmlns="http://schemas.openxmlformats.org/spreadsheetml/2006/main" count="2765" uniqueCount="1134">
  <si>
    <t>Nama</t>
  </si>
  <si>
    <t>Nama_Display</t>
  </si>
  <si>
    <t>Brand</t>
  </si>
  <si>
    <t>Harga_Rupiah</t>
  </si>
  <si>
    <t>Harga_Numeric</t>
  </si>
  <si>
    <t>Sistem_Operasi</t>
  </si>
  <si>
    <t>GPU</t>
  </si>
  <si>
    <t>Tipe_GPU</t>
  </si>
  <si>
    <t>CPU</t>
  </si>
  <si>
    <t>Tipe_CPU</t>
  </si>
  <si>
    <t>RAM</t>
  </si>
  <si>
    <t>RAM_Numeric</t>
  </si>
  <si>
    <t>Tipe_RAM</t>
  </si>
  <si>
    <t>Penyimpanan</t>
  </si>
  <si>
    <t>Penyimpanan_Numeric</t>
  </si>
  <si>
    <t>Tipe_Penyimpanan</t>
  </si>
  <si>
    <t>Berat</t>
  </si>
  <si>
    <t>Berat_Numeric</t>
  </si>
  <si>
    <t>Ukuran_Layar</t>
  </si>
  <si>
    <t>Ukuran_Layar_Numeric</t>
  </si>
  <si>
    <t>Tipe_Panel_Layar</t>
  </si>
  <si>
    <t>Resolusi_Layar</t>
  </si>
  <si>
    <t>Deskripsi</t>
  </si>
  <si>
    <t>Product_URL</t>
  </si>
  <si>
    <t>Image_URL</t>
  </si>
  <si>
    <t>Label</t>
  </si>
  <si>
    <t>Auto_Tag</t>
  </si>
  <si>
    <t>Metadata</t>
  </si>
  <si>
    <t>ACER ASPIRE GO 14 AG14 I3 1315 16GB 512GB W11+OHS+M365B 14.0WUXGA IPS SLV -72P.38G2</t>
  </si>
  <si>
    <t>ACER ASPIRE GO 14</t>
  </si>
  <si>
    <t>Acer</t>
  </si>
  <si>
    <t>9,249,000.00</t>
  </si>
  <si>
    <t>Windows 11</t>
  </si>
  <si>
    <t>Intel UHD Graphics</t>
  </si>
  <si>
    <t>Intel</t>
  </si>
  <si>
    <t>Intel Core i3-1315U</t>
  </si>
  <si>
    <t>16 GB</t>
  </si>
  <si>
    <t>LPDDR4</t>
  </si>
  <si>
    <t>512 GB</t>
  </si>
  <si>
    <t>SSD</t>
  </si>
  <si>
    <t>1.49 kg</t>
  </si>
  <si>
    <t>14 Inch</t>
  </si>
  <si>
    <t>IPS</t>
  </si>
  <si>
    <t>WUXGA 1920 x 1200</t>
  </si>
  <si>
    <t>Brand: Acer | Tipe: Aspire Go 14 | Color: Silver | Operating System: Windows 11 Home + Office Home &amp; Student + Microsoft 365 1 Year | Processor: Intel Core i3-1315U (Cache 10 MB, up to 4.50 GHz) | Graphics: Intel UHD Graphics | RAM: 16 GB LPDDR4 | Storage: 512 GB SSD NVMe Gen3 | Main Display Size: 14 Inch | Main Display Type: WUXGA Acer ComfyView LED-backlit TFT LCD | Display Resolution: 1920 x 1200 | Camera: HD Webcam with Acer Temporal Noise Reduction | Audio: Two built-in stereo speakers | Connectivity: Wi-Fi 802.11 a/b/g/n/ac/ax, Bluetooth 5.0 | Ports: 2x USB 3.2 Gen 1 1x USB-C 1x HDMI 2.0 1x DC-in 1x 3.5 mm Audio Jack | Warranty: Official Acer Indonesia 1 Year</t>
  </si>
  <si>
    <t>https://www.agres.id/products/acer-aspire-go-14-ag14-i3-1315-16gb-512gb-w11ohsm365b-140wuxga-ips-slv-72p38g2</t>
  </si>
  <si>
    <t>https://res.cloudinary.com/dbuug9eey/image/upload/v1775639074/products/zg2dsiocnj4qmvizg3xu.jpg</t>
  </si>
  <si>
    <t>murah, terjangkau, multitasking, lancar, kinerja cepat, boot cepat, loading cepat, office, kuliah, presentasi</t>
  </si>
  <si>
    <t>cpu intel performa dasar grafis ringan multitasking lancar penyimpanan besar ringan layar sedang layar bagus resolusi standar cocok kerja mudah dibawa cocok office</t>
  </si>
  <si>
    <t>acer aspire go 14 intel core i3 1315u uhd graphics grafis terintegrasi ram 16gb ssd 512gb layar 14.0 inch cpu performa dasar ringan multitasking lancar penyimpanan besar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murah cepat</t>
  </si>
  <si>
    <t>ACER ASPIRE GO 14 AI ULTRA 7 155H 16GB 512GB W11+OHS+M365B 14.0WUXGA 100RGB IPS GRY -71M.7705</t>
  </si>
  <si>
    <t>12,399,000.00</t>
  </si>
  <si>
    <t>Intel Arc Graphics</t>
  </si>
  <si>
    <t>Intel Core Ultra 7 155H</t>
  </si>
  <si>
    <t>DDR5</t>
  </si>
  <si>
    <t>1.5 kg</t>
  </si>
  <si>
    <t>Brand: Acer | Tipe: Aspire Go | Color: Grey | Operating System: Windows 11 Home + Microsoft Office Home &amp; Student + 1 Year Microsoft 365 Basic | Processor: Intel Core Ultra 7 155H with AI Boost, 16 Cores (6P + 8E + 2 LP E-Cores), up to 4.8 GHz | Graphics: Intel Arc Graphics | RAM: 16 GB DDR5 (Upgradeable up to 32 GB, 2x SODIMM) | Storage: 512 GB SSD NVMe | Main Display Size: 14 Inch | Main Display Type: IPS, Acer ComfyView™, Matte | Display Resolution: WUXGA 1920 x 1200, 100% sRGB | Camera: FHD Webcam | Audio: Two built-in stereo speakers | Battery: 55 Wh | Connectivity: Wi-Fi 6, Bluetooth 5.0 | Ports: 2x USB-A 1x USB-C 1x HDMI 2.1 1x Headphone / microphone combo jack 1x microSD card reader 1x Ethernet (RJ-45) | Weight:1.5 kg | Warranty: Official Acer Warranty 1 Year + Service 3 Years + 3 Months</t>
  </si>
  <si>
    <t>https://www.agres.id/products/acer-aspire-go-14-ai-ultra-7-155h-16gb-512gb-w11ohsm365b-140-wuxga-100rgb-ips-gry--71m7705</t>
  </si>
  <si>
    <t>https://res.cloudinary.com/dbuug9eey/image/upload/v1768366071/products/kuzst4xzoj1icmg7uzzr.jpg</t>
  </si>
  <si>
    <t>gaming berat, editing video, render 3d, menengah, multitasking, lancar, kinerja cepat, boot cepat, loading cepat, office, kuliah, presentasi</t>
  </si>
  <si>
    <t>cpu intel performa tinggi grafis modern multitasking lancar penyimpanan besar ringan layar sedang layar bagus resolusi standar cocok kerja mudah dibawa</t>
  </si>
  <si>
    <t>acer aspire go 14 intel core ultra 7 155h arc graphics grafis terintegrasi ram 16gb ssd 512gb layar 14.0 inch cpu performa tinggi modern multitasking lancar penyimpanan besar ringan sedang bagus resolusi standar cocok kerja mudah dibawa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gaming berat editing render 3d cepat office kuliah presentasi</t>
  </si>
  <si>
    <t>ACER ASPIRE GO SPIN AGSP14 TOUCH I3 N355 8GB 512GB W11+OHS 14.0WUXGA PEN 2IN1 SLV -31PT.386W</t>
  </si>
  <si>
    <t>ACER ASPIRE GO SPIN</t>
  </si>
  <si>
    <t>8,999,000.00</t>
  </si>
  <si>
    <t>Integrated Intel UHD Graphics</t>
  </si>
  <si>
    <t>Intel Core 3 N355</t>
  </si>
  <si>
    <t>8 GB</t>
  </si>
  <si>
    <t>LPDDR5</t>
  </si>
  <si>
    <t>Brand: Acer | Tipe: Aspire Go | Color: Silver | Operating System: Windows 11 Home + Microsoft Office Home &amp; Student | Processor: Intel Core 3 N355 processor, 8 Cores, up to 3.9 GHz | Graphics: Integrated Intel UHD Graphics | RAM: 8 GB LPDDR5 Dual Channel | Storage: 512 GB SSD PCIe Gen 4 NVMe | Main Display Size: 14 Inch | Main Display Type: IPS, Acer ComfyView LED Backlit | Display Resolution: WUXGA 1920 x 1200 | Camera: HD 720p with Temporal Noise Reduction | Audio: DTS Audio optimized bass | Connectivity: Wi-Fi 6, Bluetooth 5.2 | Ports: 2x USB-A (USB 3.2 Gen 1) 1x USB-C Thunderbolt 4 1x HDMI 2.1 1x Headphone / microphone combo jack | Weight: 1.5 kg | Warranty: Official Acer Warranty 1 Year</t>
  </si>
  <si>
    <t>https://www.agres.id/products/acer-aspire-go-spin-agsp14-touch-core-i3-n355-8gb-512gb-w11ohs-140wuxga-pen-2in1-slv--31pt386w</t>
  </si>
  <si>
    <t>https://res.cloudinary.com/dbuug9eey/image/upload/v1765272023/products/spwkt9zp3n9zb1fqlcop.jpg</t>
  </si>
  <si>
    <t>murah, terjangkau, tugas ringan, office dasar, boot cepat, loading cepat, office, kuliah, presentasi</t>
  </si>
  <si>
    <t>cpu intel performa dasar grafis ringan multitasking cukup penyimpanan besar ringan layar sedang layar bagus resolusi standar mudah dibawa cocok office</t>
  </si>
  <si>
    <t>acer aspire go spin intel core 3 n355 integrated uhd graphics grafis terintegrasi ram 8gb ssd 512gb layar 14.0 inch cpu performa dasar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murah tugas cepat</t>
  </si>
  <si>
    <t>ACER ASPIRE LITE 14 AL14 N4500 8GB 512GB W11+OHS+M365 14.0FHD IPS GRY -36P.C7VD</t>
  </si>
  <si>
    <t>ACER ASPIRE LITE 14</t>
  </si>
  <si>
    <t>6,449,000.00</t>
  </si>
  <si>
    <t>Intel N4500</t>
  </si>
  <si>
    <t>DDR4</t>
  </si>
  <si>
    <t>1.35 kg</t>
  </si>
  <si>
    <t>FHD 1920 x 1080</t>
  </si>
  <si>
    <t>Brand: Acer | Tipe: Aspire Lite 14 AL14 | Color: Pink | Operating System: Windows 11 Home + Office Home &amp; Student + 1 Year Microsoft 365 Basic | Processor: Intel® Celeron® N4500 (up to 2.8 GHz) | Graphics: Intel® UHD Graphics | RAM: 8 GB DDR4 | Storage: 512 GB SSD NVMe | Main Display Size: 14 Inch | Main Display Type: IPS, Acer ComfyView™, Anti-glare | Display Resolution: FHD 1920 x 1080 | Camera: HD Webcam | Audio: Dual stereo speakers | Battery: 45 Wh | Connectivity: Wi-Fi 6, Bluetooth | Ports: 1x USB-C (USB 3.2 Gen 1), 1x USB-C (USB 2.0), 1x USB-A (USB 3.2 Gen 1)</t>
  </si>
  <si>
    <t>https://www.agres.id/products/acer-aspire-lite-14-al14-n4500-8gb-512gb-w11ohsm365-140fhd-ips-pink-36pc7q8</t>
  </si>
  <si>
    <t>https://res.cloudinary.com/dbuug9eey/image/upload/v1777524805/products/uyslfm3v45bm0tf82mo9.jpg</t>
  </si>
  <si>
    <t>cpu intel performa dasar grafis ringan multitasking cukup penyimpanan cukup ringan layar sedang layar bagus resolusi standar mudah dibawa cocok office</t>
  </si>
  <si>
    <t>acer aspire lite 14 intel n4500 uhd graphics grafis terintegrasi ram 8gb ssd 512gb layar 14.0 inch cpu performa dasar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murah tugas cepat</t>
  </si>
  <si>
    <t>ACER ASPIRE LITE 14 AL14 RYZEN 3 5300 8GB 512GB W11+OHS+M365B 14.0WUXGA IPS SLV -42P.R2RJ</t>
  </si>
  <si>
    <t>7,649,000.00</t>
  </si>
  <si>
    <t>AMD Radeon Graphics</t>
  </si>
  <si>
    <t>AMD</t>
  </si>
  <si>
    <t>AMD Ryzen 3 5300U</t>
  </si>
  <si>
    <t>Brand: Acer | Tipe: Aspire Lite 14 | Color: Silver | Operating System: Windows 11 Home + Office Home &amp; Student + Microsoft 365 Basic 1 Year | Processor: AMD Ryzen 3 5300U, 4 Cores, Up to 3.8 GHz | Graphics: AMD Radeon Graphics | RAM: 8 GB DDR4 | Storage: 512 GB PCIe NVMe SSD | Main Display Size: 14 Inch | Main Display Type: IPS, Acer ComfyView LED-backlit TFT LCD | Display Resolution: WUXGA 1920 x 1200 | Camera: FHD Camera | Audio: Two Built-in Stereo Speakers | Battery: 58 Wh Power Adapter: - Keyboard: Chicklet Keyboard | Connectivity: Wi-Fi 6, Bluetooth 5.2 | Ports: 1x USB 3.2 Gen 1 2x USB Type-C Full Function (DC-In, Charge, Data, Display) 1x HDMI 1.4 | Warranty: 2 Years Official Warranty</t>
  </si>
  <si>
    <t>https://www.agres.id/products/acer-aspire-lite-14-al14-ryzen-3-5300-8gb-512gb-w11ohsm365b-140wuxga-ips-slv-42pr2rj</t>
  </si>
  <si>
    <t>https://res.cloudinary.com/dbuug9eey/image/upload/v1765181053/products/ykgxuwnupmdjgomxgufr.jpg</t>
  </si>
  <si>
    <t>gaming ringan, esports, murah, terjangkau, tugas ringan, office dasar, boot cepat, loading cepat, office, kuliah, presentasi</t>
  </si>
  <si>
    <t>cpu amd performa dasar grafis menengah multitasking cukup penyimpanan besar ringan layar sedang layar bagus resolusi standar mudah dibawa</t>
  </si>
  <si>
    <t>acer aspire lite 14 amd ryzen 3 5300u radeon graphics ram 8gb ssd 512gb layar 14.0 inch cpu performa dasar grafis menengah multitasking cukup penyimpanan besar ringan sedang bagus resolusi standar mudah dibawa nugas skripsi kuliah sekolah pelajar mahasiswa browsing internet zoom meeting nonton film youtube word excel presentasi ppt main game valorant dota genshin impact esports edit video desain canva photoshop corel illustrator konten kreator sering bepergian traveling mobilitas tinggi enteng tipis ke kampus nongkrong cafe gaming murah tugas office cepat</t>
  </si>
  <si>
    <t>ACER ASPIRE LITE 14 AL14 RYZEN 3 5400 8GB 512GB W11+OHS+M365B 14.0WUXGA IPS SLV -45P.R8JN</t>
  </si>
  <si>
    <t>7,799,000.00</t>
  </si>
  <si>
    <t>AMD Ryzen 3 5400U</t>
  </si>
  <si>
    <t>1.4 kg</t>
  </si>
  <si>
    <t>Brand: Acer | Tipe: Aspire Lite 14 AL14 | Color: Silver | Operating System: Windows 11 Home Single Language + Office Home Student + Microsoft 365 Basic | Processor: AMD Ryzen 3 5400U, 4 Cores 8 Threads, up to 4.0 GHz | Graphics: AMD Radeon Graphics | RAM: 8 GB DDR4 3200 MHz (Upgradeable to 32 GB, Dual Slot) | Storage: 512 GB PCIe NVMe M.2 SSD | Main Display Size: 14 Inch | Main Display Type: IPS, Acer ComfyView LED-backlit TFT LCD | Display Resolution: WUXGA 1920 x 1200, Wide viewing angle up to 170 degrees | Camera: FHD Camera | Audio: Two built-in stereo speakers | Battery: 58 Wh Charger: 65 W AC Adapter | Connectivity: Wi-Fi 6 (2x2), Bluetooth 5.2 | Ports: 1x USB 3.2 Gen 1 2x USB Type-C (Full Function: DC-In, Charge, Data, Display) 1x HDMI 1.4 with HDCP support | Weight: 1.40 kg | Warranty: Official Acer Warranty 2 Years</t>
  </si>
  <si>
    <t>https://www.agres.id/products/acer-aspire-lite-14-al14-ryzen-3-5400-8gb-512gb-w11ohsm365b-140wuxga-ips-slv-45pr8jn</t>
  </si>
  <si>
    <t>https://res.cloudinary.com/dbuug9eey/image/upload/v1775894854/products/ljp4qdw6ufrtihvr1hks.jpg</t>
  </si>
  <si>
    <t>gaming ringan, esports, ringan, tipis, mudah dibawa, travel, murah, terjangkau, tugas ringan, office dasar, boot cepat, loading cepat, office, kuliah, presentasi</t>
  </si>
  <si>
    <t>acer aspire lite 14 amd ryzen 3 5400u radeon graphics ram 8gb ssd 512gb layar 14.0 inch cpu performa dasar grafis menengah multitasking cukup penyimpanan besar ringan sedang bagus resolusi standar mudah dibawa nugas skripsi kuliah sekolah pelajar mahasiswa browsing internet zoom meeting nonton film youtube word excel presentasi ppt main game valorant dota genshin impact esports edit video desain canva photoshop corel illustrator konten kreator sering bepergian traveling mobilitas tinggi enteng tipis ke kampus nongkrong cafe gaming travel murah tugas office cepat</t>
  </si>
  <si>
    <t>ACER ASPIRE LITE 15 AL15 RYZEN 5 8640HS 8GB 512GB W11+OHS+M365B 15.0FHD IPS SLV -61P.R3QE</t>
  </si>
  <si>
    <t>ACER ASPIRE LITE 15</t>
  </si>
  <si>
    <t>9,599,000.00</t>
  </si>
  <si>
    <t>Integrated AMD Radeon Graphics</t>
  </si>
  <si>
    <t>AMD Ryzen 5 8640HS</t>
  </si>
  <si>
    <t>1.75 kg</t>
  </si>
  <si>
    <t>15,6 Inch</t>
  </si>
  <si>
    <t>Brand: Acer | Tipe: Aspire Lite 15 | Color: Light Silver | Operating System: Windows 11 Home + Microsoft Office Home &amp; Student + 1 Year Microsoft 365 Basic | Processor: AMD Ryzen 5 8640HS 6 Cores 12 Threads Base Clock 3.5 GHz Up to 4.9 GHz 6 MB L2 Cache 16 MB L3 Cache | Graphics: Integrated AMD Radeon Graphics | RAM: 8 GB DDR5 | Storage: 512 GB SSD NVMe | Main Display Size: 15.6 Inch | Main Display Type: IPS Acer ComfyView LED Backlit | Display Resolution: FHD 1920 x 1080 Viewing Angle: Up to 170 Degrees | Camera: FHD Camera | Audio: Two Built in Stereo Speakers Keyboard: Chiclet Keyboard | Battery: 58 Wh | Connectivity: WiFi 6 Bluetooth 5.1 | Ports: 3x USB A USB 3.2 Gen 1 1x USB C Full Function DC In Charge Data Display 1x HDMI 1.4 with HDCP Support 1x Audio Jack 1x MicroSD Card Reader</t>
  </si>
  <si>
    <t>https://www.agres.id/products/acer-aspire-lite-15-al15-ryzen-5-8640hs-8gb-512gb-w11ohsm365b-156fhd-ips-slv-61pr3qe</t>
  </si>
  <si>
    <t>https://res.cloudinary.com/dbuug9eey/image/upload/v1767870079/products/mynwozctvuzucgjnrxyx.jpg</t>
  </si>
  <si>
    <t>gaming ringan, esports, layar besar, nyaman nonton, multimedia, murah, terjangkau, tugas ringan, office dasar, boot cepat, loading cepat, office, kuliah, presentasi</t>
  </si>
  <si>
    <t>cpu amd performa menengah grafis menengah multitasking cukup penyimpanan besar sedang layar sedang layar bagus resolusi standar</t>
  </si>
  <si>
    <t>acer aspire lite 15 amd ryzen 5 8640hs integrated radeon graphics grafis terintegrasi ram 8gb ssd 512gb layar 15.6 inch cpu performa menengah multitasking cukup penyimpanan besar sedang bagus resolusi standar nugas skripsi kuliah sekolah pelajar mahasiswa browsing internet zoom meeting nonton film youtube word excel presentasi ppt main game ringan valorant dota genshin impact esports edit video desain canva photoshop corel illustrator konten kreator gaming nyaman multimedia murah tugas office dasar cepat</t>
  </si>
  <si>
    <t>ACER ASPIRE SPIN ASP14 TOUCH ULTRA 7 155U 16GB 1TB W11+OHS 14.0WUXGA PEN 2IN1 GRY -52MTN.706P</t>
  </si>
  <si>
    <t>ACER ASPIRE SPIN ASP14</t>
  </si>
  <si>
    <t>15,499,000.00</t>
  </si>
  <si>
    <t>Intel Graphics</t>
  </si>
  <si>
    <t>Intel Core Ultra 7 155U</t>
  </si>
  <si>
    <t>1 TB</t>
  </si>
  <si>
    <t>Brand: Acer | Tipe: Aspire 14 | Color: Grey | Operating System: Windows 11 Home + Microsoft Office Home &amp; Student | Processor: Intel Core Ultra 7 155U | Graphics: Intel Graphics | RAM: 16 GB LPDDR5 Dual Channel (Onboard) | Storage: 1 TB SSD PCIe Gen4 NVMe | Main Display Size: 14 Inch | Main Display Type: IPS, Acer ComfyView, Touchscreen | Display Resolution: WUXGA 1920 x 1200 | Camera: FHD 1080p Webcam 60fps with Temporal Noise Reduction | Audio: DTS Audio with optimized bass and Acer Purified Voice AI Noise Reduction | Battery: 50 Wh Charger: 65 W | Connectivity: Wi-Fi 6E, Bluetooth 5.3 | Ports: 2x USB 3.2 Gen 1 1x Thunderbolt 4 1x HDMI 2.1 | Weight: 1.5 kg | Warranty: Official Acer Warranty 1 Year</t>
  </si>
  <si>
    <t>https://www.agres.id/products/acer-aspire-spin-asp14-touch-ultra-7-155u-16gb-1tb-w11ohs-140wuxga-pen-2in1-gry--52mtn706p</t>
  </si>
  <si>
    <t>https://res.cloudinary.com/dbuug9eey/image/upload/v1765274158/products/yrnptep8x8watg63cunb.jpg</t>
  </si>
  <si>
    <t>cpu intel performa tinggi grafis ringan multitasking lancar penyimpanan sangat besar ringan layar sedang layar bagus resolusi standar cocok kerja mudah dibawa cocok office</t>
  </si>
  <si>
    <t>acer aspire spin asp14 intel core ultra 7 155u graphics grafis terintegrasi ram 16gb ssd 1tb layar 14.0 inch cpu performa tinggi ringan multitasking lancar penyimpanan sangat besar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gaming berat editing video render 3d cepat</t>
  </si>
  <si>
    <t>ACER NITRO LITE 16 CORE 7 240H RTX3050 6GB/ 16GB 512GB W11+OHS+M365B 16.0WUXGA 180HZ 100SRGB BLIT 2Y+ADP WHT -71G.75QK</t>
  </si>
  <si>
    <t>ACER NITRO LITE 16</t>
  </si>
  <si>
    <t>15,399,000.00</t>
  </si>
  <si>
    <t>NVIDIA GeForce RTX 3050</t>
  </si>
  <si>
    <t>NVIDIA</t>
  </si>
  <si>
    <t>Intel Core 7 240H</t>
  </si>
  <si>
    <t>1.95 kg</t>
  </si>
  <si>
    <t>16 Inch</t>
  </si>
  <si>
    <t>Brand: Acer | Tipe: NITRO LITE 16 | Color: White | Operating System: Windows 11 Home Single Language + Microsoft Office Home and Student + Microsoft 365 Basic | Processor: Intel Core 7 240H, 10C / 16T, up to 4.8GHz | Graphics: NVIDIA GeForce RTX 3050 6GB GDDR6 | RAM: 16 GB DDR5 | Storage: 512 GB SSD M.2 PCIe 4.0 NVMe | Main Display Size: 16 Inch | Main Display Type: IPS, Anti-glare, ComfyView | Display Resolution: WUXGA 1920 x 1200 | Audio: Stereo speakers x2 Power Adapter: 100W Keyboard: Backlit White | Connectivity: Wi-Fi 6, Bluetooth 5.0 | Ports: 2x USB 3.2 Gen 1 1x USB-C 3.2 Gen 2 1x HDMI 1x RJ-45 1x Headphone / microphone combo jack | Weight: 1.95 kg</t>
  </si>
  <si>
    <t>https://www.agres.id/products/acer-nitro-lite-16-i7-240h-rtx3050-6gb-16gb-512gb-w11ohs-160wuxga-180hz-100srgb-2y-white-71g-75qk</t>
  </si>
  <si>
    <t>https://res.cloudinary.com/dbuug9eey/image/upload/v1765359831/products/avic9zrdeg2ognb4e9y5.jpg</t>
  </si>
  <si>
    <t>gaming berat, editing video, render 3d, layar besar, nyaman nonton, multimedia, menengah, multitasking, lancar, kinerja cepat, boot cepat, loading cepat, office, kuliah, presentasi</t>
  </si>
  <si>
    <t>cpu intel performa dasar gaming berat multitasking lancar penyimpanan besar sedang layar besar layar bagus resolusi standar cocok gaming cocok kerja</t>
  </si>
  <si>
    <t>acer nitro lite 16 intel core 7 240h nvidia geforce rtx 3050 ram 16gb ssd 512gb layar 16.0 inch cpu performa dasar gaming berat multitasking lancar penyimpanan besar sedang bagus resolusi standar cocok kerja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editing nyaman multimedia cepat office</t>
  </si>
  <si>
    <t>ACER NITRO LITE 16 CORE I5 210H RTX3050 6GB/ 16GB 512GB W11+OHS 16.0WUXGA 180HZ 100SRGB BLIT 2Y+ADP BLK -71G.5613</t>
  </si>
  <si>
    <t>14,399,000.00</t>
  </si>
  <si>
    <t>Intel Core 5 210H</t>
  </si>
  <si>
    <t>2.4 kg</t>
  </si>
  <si>
    <t>Brand: Acer | Tipe: Nitro Lite 16 | Color: Black | Operating System: Windows 11 Home + Microsoft Office Home Student | Processor: Intel Core 5 210H (8C/12T, up to 4.8GHz) | Graphics: NVIDIA GeForce RTX 3050 6GB GDDR6 | RAM: 16 GB DDR5 (2x8GB, Up to 24GB) | Storage: 512 GB SSD NVMe | Main Display Size: 16 Inch | Main Display Type: IPS, Acer ComfyView LED Backlit TFT LCD | Display Resolution: WUXGA 1920 x 1200, 180Hz, 100% sRGB | Camera: FHD 1080p | Audio: Dual Speakers | Battery: 53 Wh Charger: 100 W | Connectivity: Wi-Fi 6, Bluetooth 5.1 | Ports: 2x USB-A 1x USB-C Thunderbolt 1x HDMI 2.1 1x Audio combo jack 1x Ethernet (RJ-45) 1x Kensington Lock | Dimension: | Weight: | Warranty: Official Acer Warranty 2 Years</t>
  </si>
  <si>
    <t>https://www.agres.id/products/acer-nitro-lite-16-core-i5-210h-rtx3050-6gb-16gb-512gb-w11ohs-160wuxga-180hz-100srgb-blit-2yadp-blk-71g5613</t>
  </si>
  <si>
    <t>https://res.cloudinary.com/dbuug9eey/image/upload/v1765349552/products/zvxnvx2knqk7mzbalsve.jpg</t>
  </si>
  <si>
    <t>gaming berat, editing video, render 3d, layar besar, nyaman nonton, multimedia, menengah, layar mulus, gaming cepat, multitasking, lancar, kinerja cepat, boot cepat, loading cepat, office, kuliah, presentasi</t>
  </si>
  <si>
    <t>cpu intel performa dasar gaming berat multitasking lancar penyimpanan besar berat layar besar layar bagus resolusi standar cocok gaming cocok kerja</t>
  </si>
  <si>
    <t>acer nitro lite 16 intel core 5 210h nvidia geforce rtx 3050 ram 16gb ssd 512gb layar 16.0 inch cpu performa dasar gaming berat multitasking lancar penyimpanan besar bagus resolusi standar cocok kerja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editing nyaman multimedia mulus cepat office</t>
  </si>
  <si>
    <t>ACER NITRO LITE 16 I5 13420H RTX4050 6GB/ 16GB 512GB W11+OHS 16.0WUXGA 180HZ 100SRGB BLIT 2Y+ADP WHT -71G.55VC</t>
  </si>
  <si>
    <t>15,899,000.00</t>
  </si>
  <si>
    <t>NVIDIA GeForce RTX 4050</t>
  </si>
  <si>
    <t>Intel Core i5-13420H</t>
  </si>
  <si>
    <t>2.1 kg</t>
  </si>
  <si>
    <t>Brand: Acer | Tipe: Nitro Lite 16 | Color: White | Operating System: Windows 11 Home + Microsoft Office Home and Student | Processor: Intel Core i5-13420H Processor, 8 Cores 12 Threads, up to 4.6 GHz | Graphics: NVIDIA GeForce RTX 4050 6GB Laptop GPU, Intel UHD Graphics | RAM: 16 GB DDR4 | Storage: 512 GB SSD NVMe PCIe | Main Display Size: 16 Inch | Main Display Type: IPS-level Panel, Anti-glare | Display Resolution: WUXGA 1920 x 1200, 16:10, 180Hz, 100% sRGB | Camera: HD Camera | Audio: Built-in speaker | Battery: Li-ion Battery | Connectivity: Wi-Fi 6, Bluetooth | Ports: 1x USB-C 2x USB-A 1x HDMI 1x RJ-45 LAN 1x Headphone / microphone combo jack 1x DC-in | Dimension: | Weight: 2.1 kg | Warranty: Official Acer Warranty 2 Years + Accidental Damage Protection</t>
  </si>
  <si>
    <t>https://www.agres.id/products/acer-nitro-lite-16-i5-13420h-rtx4050-6gb-16gb-512gb-w11ohs-160wuxga-180hz-100srgb-blit-2yadp-wht-71g55vc</t>
  </si>
  <si>
    <t>https://res.cloudinary.com/dbuug9eey/image/upload/v1766206269/products/huyawig1mwtg5frcdvtz.jpg</t>
  </si>
  <si>
    <t>cpu intel performa menengah gaming berat multitasking lancar penyimpanan besar berat layar besar layar bagus resolusi standar cocok gaming cocok kerja</t>
  </si>
  <si>
    <t>acer nitro lite 16 intel core i5 13420h nvidia geforce rtx 4050 ram 16gb ssd 512gb layar 16.0 inch cpu performa menengah gaming berat multitasking lancar penyimpanan besar bagus resolusi standar cocok kerja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editing nyaman multimedia mulus cepat office</t>
  </si>
  <si>
    <t>ACER NITRO V 15 CORE 5 210H RTX5050 8GB/ 16GB 512GB W11+OHS+M36B 15.6FHD 180HZ 100SRGB BLIT 2Y+ADP BLK</t>
  </si>
  <si>
    <t>ACER NITRO V 15</t>
  </si>
  <si>
    <t>17,299,000.00</t>
  </si>
  <si>
    <t>NVIDIA GeForce RTX 5050</t>
  </si>
  <si>
    <t>Brand: Acer | Tipe: Nitro V 15 | Color: Black | Operating System: Windows 11 Home + Microsoft Office Home &amp; Student | Processor: Intel Core 5 210H | Graphics: NVIDIA GeForce RTX 5050 Laptop GPU 8GB | RAM: 16 GB DDR5 (2x8GB, 2x SODIMM) | Storage: 512 GB SSD NVMe PCIe 4.0 | Main Display Size: 15.6 Inch | Main Display Type: IPS | Display Resolution: FHD 1920 x 1080, 180Hz | Audio: Dual speakers with Acer TrueHarmony and DTS:X Ultra | Connectivity: Wi-Fi 6E, Bluetooth 5.2, Ethernet | Ports: 1x USB-A 3.2 Gen 1 1x USB-C (Thunderbolt 4) 1x HDMI 1x Headphone / microphone combo jack 1x Card reader | Warranty: Official Acer Warranty 2 Years</t>
  </si>
  <si>
    <t>https://www.agres.id/products/acer-nitro-v-15-i5-210h-rtx5050-8gb-16gb-512gb-w11ohs-156fhd-180hz-100srgb-2yadp-5250fx</t>
  </si>
  <si>
    <t>https://res.cloudinary.com/dbuug9eey/image/upload/v1775894502/products/fsckv6fqmxyqrfxqhzjn.jpg</t>
  </si>
  <si>
    <t>cpu intel performa dasar gaming berat multitasking lancar penyimpanan besar berat layar sedang layar bagus resolusi standar cocok gaming cocok kerja</t>
  </si>
  <si>
    <t>acer nitro v 15 intel core 5 210h nvidia geforce rtx 5050 ram 16gb ssd 512gb layar 15.6 inch cpu performa dasar gaming berat multitasking lancar penyimpanan besar sedang bagus resolusi standar cocok kerja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editing nyaman multimedia mulus cepat office</t>
  </si>
  <si>
    <t>ACER NITRO V 15 RYZEN 7 7445HS RTX4050 6GB/ 16GB 512GB W11+OHS+M365B 15.6FHD 180HZ 100SRGB BLIT 2Y+ADP BLK -42.R60U</t>
  </si>
  <si>
    <t>17,099,000.00</t>
  </si>
  <si>
    <t>AMD Ryzen 7 7445HS</t>
  </si>
  <si>
    <t>Brand: Acer | Tipe: Nitro V 15 | Color: Black | Operating System: Windows 11 Home Single Language + Microsoft Office Home &amp; Student + Microsoft 365 Basic | Processor: AMD Ryzen 7 7445HS Hexa-core Up to 3.20GHz | Graphics: NVIDIA GeForce RTX 4050 6GB GDDR6 | RAM: 16 GB DDR5 SDRAM | Storage: 512 GB SSD M.2 PCIe NVMe 4.0 | Main Display Size: 15.6 Inch | Main Display Type: IPS ComfyView Matte | Display Resolution: FHD 1920 x 1080 | Audio: Stereo Speaker | Battery: 59 Wh Up to 10 Hours Power Adapter: 135W Keyboard: Backlit Yellow with NitroSense | Connectivity: Wi-Fi 6, Bluetooth 5.3 | Ports: 3x USB-A (USB 3.2 Gen 1) 1x USB4 1x HDMI 1x RJ-45 1x Headphone / microphone combo jack (3.5mm) | Weight: 2.10 kg | Warranty: Official Acer Warranty 3/3/0 Part Labour Onsite</t>
  </si>
  <si>
    <t>https://www.agres.id/products/acer-nitro-v-15-ryzen-7-7445hs-rtx4050-6gb-16gb-512gb-w11ohs-156fhd-180hz-2yadp-blk-42r60u</t>
  </si>
  <si>
    <t>https://res.cloudinary.com/dbuug9eey/image/upload/v1765343427/products/gr9ymfuxnz7msuuvrk91.jpg</t>
  </si>
  <si>
    <t>cpu amd performa tinggi gaming berat multitasking lancar penyimpanan besar berat layar sedang layar bagus resolusi standar cocok gaming cocok kerja</t>
  </si>
  <si>
    <t>acer nitro v 15 amd ryzen 7 7445hs nvidia geforce rtx 4050 ram 16gb ssd 512gb layar 15.6 inch cpu performa tinggi gaming berat multitasking lancar penyimpanan besar sedang bagus resolusi standar cocok kerja kantor buka banyak tab aplikasi anti lelet coding programming programmer software analis data gamer rata kanan gta cyberpunk render 3d autocad blender sketchup video editor profesional premiere pro after effects editing nyaman nonton multimedia cepat office kuliah presentasi</t>
  </si>
  <si>
    <t>ACER NITRO V 16S RYZEN 7 260 RTX5050 8GB/ 16GB 512GB W11+OHS+M365B 16.0WUXGA 180HZ 100SRGB 2Y+ADP BLK -41.R8CJ</t>
  </si>
  <si>
    <t>ACER NITRO V 16S</t>
  </si>
  <si>
    <t>19,599,000.00</t>
  </si>
  <si>
    <t>AMD Ryzen 7 260</t>
  </si>
  <si>
    <t>Brand: Acer | Tipe: Nitro V 16S | Color: Black | Operating System: Windows 11 Home Single Language + Microsoft Office Home and Student + Microsoft 365 Basic | Processor: AMD Ryzen 7 260 Octa-core up to 3.8 GHz | Graphics: NVIDIA GeForce RTX 5050 8GB GDDR7 | RAM: 16 GB DDR5 | Storage: 512 GB SSD M.2 PCIe 4.0 NVMe | Main Display Size: 16 Inch | Main Display Type: IPS Acer ComfyView Matte | Display Resolution: WUXGA 1920 x 1200 | Camera: Not Specified | Audio: Two Built-in Stereo Speakers | Battery: 76 Wh Charger: 135 W | Connectivity: Wi-Fi 6, Bluetooth 5.3 | Ports: 1x USB 3.2 Gen 1 Type-A 2x USB 3.2 Gen 2 Type-A 1x USB4 1x HDMI 1x RJ-45 1x microSD Card Reader | Dimension: | Weight: 2.10 kg | Warranty: Official Acer Warranty 2 Years + 1 Year ADP</t>
  </si>
  <si>
    <t>https://www.agres.id/products/acer-nitro-v-16s-ryzen-7-260-rtx5050-8gb-16gb-512gb-w11ohsm365b-160wuxga-180hz-100srgb-2yadp-blk-41r8cj</t>
  </si>
  <si>
    <t>https://res.cloudinary.com/dbuug9eey/image/upload/v1765346610/products/wqvsg5idwayow7r2yy0n.jpg</t>
  </si>
  <si>
    <t>cpu amd performa tinggi gaming berat multitasking lancar penyimpanan besar berat layar besar layar bagus resolusi standar cocok gaming cocok kerja</t>
  </si>
  <si>
    <t>acer nitro v 16s amd ryzen 7 260 nvidia geforce rtx 5050 ram 16gb ssd 512gb layar 16.0 inch cpu performa tinggi gaming berat multitasking lancar penyimpanan besar bagus resolusi standar cocok kerja kantor buka banyak tab aplikasi anti lelet coding programming programmer software analis data gamer rata kanan gta cyberpunk render 3d autocad blender sketchup video editor profesional premiere pro after effects editing nyaman nonton multimedia cepat office kuliah presentasi</t>
  </si>
  <si>
    <t>ACER PREDATOR HELIOS NEO 165 AI OLED ULTRA 7 255HX RTX5060 8GB/ 16GB 1TB W11+OHS 16.0WQXGA 240HZ 3Y+ADP -71.78UQ</t>
  </si>
  <si>
    <t>ACER PREDATOR HELIOS NEO</t>
  </si>
  <si>
    <t>27,299,000.00</t>
  </si>
  <si>
    <t>NVIDIA GeForce RTX 5060</t>
  </si>
  <si>
    <t>Intel Core Ultra 7 255HX</t>
  </si>
  <si>
    <t>2.6 kg</t>
  </si>
  <si>
    <t>OLED</t>
  </si>
  <si>
    <t>WQXGA 2560 x 1600</t>
  </si>
  <si>
    <t>Brand: Acer | Tipe: ACER PREDATOR HELIOS NEO | Operating System: Windows 11 | Processor: Intel Core Ultra 7 255HX | Graphics: NVIDIA GeForce RTX 5060 | RAM: 16 GB | Storage: 1 TB SSD | Main Display Size: 16 Inch | Main Display Type: OLED | Display Resolution: WQXGA 2560 x 1600</t>
  </si>
  <si>
    <t>https://www.agres.id/products/acer-predator-helios-neo-165-ai-oled-ultra-7-255hx-rtx5060-8gb-16gb-1tb-w11ohs-160wqxga-240hz-3yadp-7178uq</t>
  </si>
  <si>
    <t>https://res.cloudinary.com/dbuug9eey/image/upload/v1766215894/products/yotvwmu1qaiikiwzea0x.webp</t>
  </si>
  <si>
    <t>sultan, premium, layar mulus, gaming cepat, office, kuliah, presentasi</t>
  </si>
  <si>
    <t>cpu intel performa tinggi gaming berat multitasking lancar penyimpanan sangat besar berat layar besar layar oled resolusi tinggi cocok gaming cocok kerja cocok multimedia</t>
  </si>
  <si>
    <t>acer predator helios neo intel core ultra 7 255hx nvidia geforce rtx 5060 ram 16gb ssd 1tb layar 16.0 inch cpu performa tinggi gaming berat multitasking lancar penyimpanan sangat besar oled resolusi cocok kerja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sultan premium mulus cepat office kuliah presentasi</t>
  </si>
  <si>
    <t>ACER SWIFT GO OLED SFG14 ULTRA 7 155H 32GB 1TB W11+OHS 14.0 2.8K 90HZ EVO 2Y+ADP -73.731A</t>
  </si>
  <si>
    <t>ACER SWIFT GO OLED</t>
  </si>
  <si>
    <t>15,799,000.00</t>
  </si>
  <si>
    <t>32 GB</t>
  </si>
  <si>
    <t>LPDDR5X</t>
  </si>
  <si>
    <t>1.32 kg</t>
  </si>
  <si>
    <t>2.8K 2880 x 1800</t>
  </si>
  <si>
    <t>Brand: Acer | Tipe: ACER SWIFT GO OLED | Color: - KONEKTIVITAS Wi-Fi 6E 802.11ax + Bluetooth Port tersedia: 2x USB Type-C Thunderbolt 4 USB4 40Gbps USB charging DC-in 20V 100W 2x USB 3.2 Gen 1 Standard-A one featuring power off USB charging 1x 3.5mm headphone speaker jack 1x HDMI 2.1 with HDCP support 1x microSD Card reader SOFTWARE Windows 11 Home Office Home Student GARANSI RESMI Garansi Resmi Acer 2 Tahun | Operating System: Windows 11 | Processor: Intel Core Ultra 7 155H 4.80GHz Frekuensi Turbo 16 Core 22 Threads | Graphics: Intel Arc Graphics | RAM: 32GB LPDDR5X | Storage: 1TB PCIe Gen 4 SSD | Main Display Size: 14 Inch | Main Display Type: OLED Keyboard: Backlit | Display Resolution: 2.8K 2880 x 1800 | Camera: 1440p QHD with shutter | Battery: Integrated Charger: 100W DESAIN Layar: 14 Inch 2.8K 2880x1800 OLED 90Hz 100 Percent DCI-P3</t>
  </si>
  <si>
    <t>https://www.agres.id/products/acer-swift-go-oled-sfg14-ultra-7-155h-32gb-1tb-w11ohs-140-28k-90hz-evo-2yadp--73731a</t>
  </si>
  <si>
    <t>https://res.cloudinary.com/dbuug9eey/image/upload/v1766209482/products/soh21ocen53sxwdddi3c.webp</t>
  </si>
  <si>
    <t>gaming berat, editing video, render 3d, gaming ringan, esports, menengah, multitasking, lancar, kinerja cepat, boot cepat, loading cepat, office, kuliah, presentasi</t>
  </si>
  <si>
    <t>cpu intel performa tinggi grafis modern multitasking ekstrem penyimpanan sangat besar ringan layar sedang layar oled resolusi tinggi mudah dibawa cocok multimedia</t>
  </si>
  <si>
    <t>acer swift go oled intel core ultra 7 155h arc graphics grafis terintegrasi ram 32gb ssd 1tb layar 14.0 inch cpu performa tinggi modern multitasking ekstrem penyimpanan sangat besar ringan sedang resolusi mudah dibawa cocok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lancar cepat office kuliah presentasi</t>
  </si>
  <si>
    <t>ACER SWIFT GO OLED SFG14 ULTRA 9 185H 32GB 1TB W11+OHS 14.0 2.8K 90HZ 2Y+ADP BLU -73.9686</t>
  </si>
  <si>
    <t>16,979,000.00</t>
  </si>
  <si>
    <t>Intel Integrated Graphics</t>
  </si>
  <si>
    <t>Intel Core Ultra 9 185H</t>
  </si>
  <si>
    <t>Brand: Acer | Tipe: Swift Go | Color: Blue | Operating System: Windows 11 Home Single Language + Office Home &amp; Student | Processor: Intel Core Ultra 9 185H, 16 Cores, 22 Threads, up to 2.30 GHz | Graphics: Intel Integrated Graphics | RAM: 32 GB LPDDR5X | Storage: 1 TB SSD NVMe | Main Display Size: 14 Inch | Main Display Type: OLED CineCrystal, Glossy, 90Hz | Display Resolution: 2880 x 1800 | Camera: FHD Camera with Fingerprint Reader | Audio: Two built-in stereo speakers | Battery: 65 Wh | Connectivity: Wi-Fi 7, Bluetooth 5.3 | Ports: 2x USB-A 2x USB-C 1x HDMI 1x Headphone / microphone combo jack 1x microSD card reader | Dimension: | Weight: 1.32 kg | Warranty: Official Acer Warranty 1 Year</t>
  </si>
  <si>
    <t>https://www.agres.id/products/acer-swift-go-oled-sfg14-ultra-9-185h-32gb-1tb-w11ohs-140-28k-90hz-2yadp-blu-739686</t>
  </si>
  <si>
    <t>https://res.cloudinary.com/dbuug9eey/image/upload/v1765883589/products/jdn6j99mquztlq7m6zt1.jpg</t>
  </si>
  <si>
    <t>gaming berat, editing video, render 3d, ringan, tipis, mudah dibawa, travel, menengah, multitasking, lancar, kinerja cepat, boot cepat, loading cepat, office, kuliah, presentasi</t>
  </si>
  <si>
    <t>cpu intel performa sangat tinggi grafis ringan multitasking ekstrem penyimpanan sangat besar ringan layar sedang layar oled resolusi tinggi mudah dibawa cocok office cocok multimedia</t>
  </si>
  <si>
    <t>acer swift go oled intel core ultra 9 185h integrated graphics grafis terintegrasi ram 32gb ssd 1tb layar 14.0 inch cpu performa sangat tinggi ringan multitasking ekstrem penyimpanan besar sedang resolusi mudah dibawa cocok office multimedia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netflix kualitas bioskop warna akurat manjakan mata desainer tajam gaming berat editing video render 3d travel lancar cepat</t>
  </si>
  <si>
    <t>ADVAN 360 GO 2IN1 RYZEN 3 3200 8GB 256GB 14.0 IPS TOUCH GRY</t>
  </si>
  <si>
    <t>ADVAN 360 GO 2IN1</t>
  </si>
  <si>
    <t>Advan</t>
  </si>
  <si>
    <t>5,499,000.00</t>
  </si>
  <si>
    <t>AMD Radeon Vega 3 Graphics</t>
  </si>
  <si>
    <t>AMD Ryzen 3 3200U</t>
  </si>
  <si>
    <t>256 GB</t>
  </si>
  <si>
    <t>Brand: Advan | Tipe: Advan 360 GO 2IN1 | Color: Grey | Operating System: Windows 11 64bit Home Original | Processor: AMD Ryzen 3 3200U, 2.6 GHz Base up to 3.5 GHz Turbo | Graphics: AMD Radeon Vega 3 Graphics | RAM: 8 GB DDR4 | Storage: 256 GB SSD NVMe PCIe | Main Display Size: 14 Inch | Main Display Type: IPS Touchscreen | Display Resolution: FHD 1920 x 1080, 16:9 | Camera: 1 MP HD with Privacy Shutter | Audio: Built-in Speakers | Battery: 45 Wh, 11.4V Charger: DC 3.5 mm Charging | Connectivity: Wi-Fi 802.11 b/g/n/ac 2.4GHz and 5GHz, Bluetooth 5.0 | Ports: 1x DC 3.5 mm Charging Only 1x USB 3.2 Gen1 1x USB Type-C Full Function (DP, PD, Data, Charger) 1x HDMI 1.4 1x 3.5 mm Combo Audio Jack 1x TF Card Slot 1x USB 3.2 Gen1 Data Only | Dimension: 325.6 x 218 x 19.3 mm | Weight: 1.5 kg | Warranty: Official Advan Warranty 1 Year</t>
  </si>
  <si>
    <t>https://www.agres.id/products/advan-360-go-ryzen-3-3200u-8gb-256gb-w11-140fhd-ips-gry</t>
  </si>
  <si>
    <t>https://res.cloudinary.com/dbuug9eey/image/upload/v1771997076/products/yc1zvdqqnr2c1kiyobmi.jpg</t>
  </si>
  <si>
    <t>murah, terjangkau, tugas ringan, office dasar, boot cepat, loading cepat</t>
  </si>
  <si>
    <t>cpu amd performa dasar grafis menengah multitasking cukup penyimpanan cukup ringan layar sedang layar bagus resolusi standar mudah dibawa</t>
  </si>
  <si>
    <t>advan 360 go 2in1 amd ryzen 3 3200u radeon vega graphics ram 8gb ssd 256gb layar 14.0 inch cpu performa dasar grafis menengah multitasking cukup penyimpanan ringan sedang bagus resolusi standar mudah dibawa nugas skripsi kuliah sekolah pelajar mahasiswa browsing internet zoom meeting nonton film youtube word excel presentasi ppt main game valorant dota genshin impact esports edit video desain canva photoshop corel illustrator konten kreator sering bepergian traveling mobilitas tinggi enteng tipis ke kampus nongkrong cafe murah tugas office cepat</t>
  </si>
  <si>
    <t>ADVAN SOULMATE X2 AMD 3020 8GB 128GB W11 14.0 IPS WHITE</t>
  </si>
  <si>
    <t>ADVAN SOULMATE X2 AMD</t>
  </si>
  <si>
    <t>3,699,000.00</t>
  </si>
  <si>
    <t>AMD Athlon 3020e</t>
  </si>
  <si>
    <t>128 GB</t>
  </si>
  <si>
    <t>Brand: Advan | Tipe: SOULMATE X2 | Color: White | Operating System: Windows 11 | Processor: AMD Athlon 3020e Up to 2.6 GHz 2 Cores 2 Threads | Graphics: AMD Radeon Graphics | RAM: 8 GB DDR4 | Storage: 128 GB SSD | Main Display Size: 14 Inch | Main Display Type: IPS | Display Resolution: FHD 1920 x 1080 | Camera: 0.3 MP | Audio: Built-in Stereo Speakers | Battery: 5000 mAh Charger: 36 W Adapter | Connectivity: WiFi a b g n ac Bluetooth 5.0 | Dimension: 322.5 x 213 x 21.3 mm | Weight: 1.4 kg | Warranty: Official Advan Warranty</t>
  </si>
  <si>
    <t>https://www.agres.id/products/advan-soulmate-x2-amd-3020-8gb-128gb-w11-140-ips-white</t>
  </si>
  <si>
    <t>https://res.cloudinary.com/dbuug9eey/image/upload/v1771930614/products/oqnpnzgpo2cjibkrkfos.jpg</t>
  </si>
  <si>
    <t>gaming ringan, esports, ringan, tipis, mudah dibawa, travel, murah, terjangkau, tugas ringan, office dasar, boot cepat, loading cepat</t>
  </si>
  <si>
    <t>cpu amd performa dasar grafis menengah multitasking cukup penyimpanan kecil ringan layar sedang layar bagus resolusi standar mudah dibawa</t>
  </si>
  <si>
    <t>advan soulmate x2 amd athlon 3020e radeon graphics ram 8gb ssd 128gb layar 14.0 inch cpu performa dasar grafis menengah multitasking cukup penyimpanan kecil ringan sedang bagus resolusi standar mudah dibawa nugas skripsi kuliah sekolah pelajar mahasiswa browsing internet zoom meeting nonton film youtube word excel presentasi ppt main game valorant dota genshin impact esports edit video desain canva photoshop corel illustrator konten kreator sering bepergian traveling mobilitas tinggi enteng tipis ke kampus nongkrong cafe gaming travel murah tugas office cepat</t>
  </si>
  <si>
    <t>ADVAN TBOOK N100 4GB 128GB W11 14.0 DARK GRY</t>
  </si>
  <si>
    <t>ADVAN TBOOK N100 4GB</t>
  </si>
  <si>
    <t>4,199,000.00</t>
  </si>
  <si>
    <t>Intel Core N100</t>
  </si>
  <si>
    <t>4 GB</t>
  </si>
  <si>
    <t>eMMC</t>
  </si>
  <si>
    <t>TN</t>
  </si>
  <si>
    <t>HD 1366 x 768</t>
  </si>
  <si>
    <t>Brand: Advan | Tipe: TBook | Color: Grey | Operating System: Windows 11 Home | Processor: Intel Core N100 | Graphics: Intel UHD Graphics | RAM: 4 GB DDR4 | Storage: 128 GB eMMC | Main Display Size: 14 Inch | Main Display Type: HD | Display Resolution: 1366 x 768 | Camera: 2.0 MP Webcam | Audio: Built-in Stereo Speakers | Battery: 45.6 Wh (7.6 V / 6000 mAh) Charger: 24 W Adapter (12 V 2 A) | Connectivity: Wi-Fi a/b/g/n/ac, Bluetooth 5.1 | Ports: 2x USB 3.2 1x USB 2.0 1x USB Type-C 3.2 (PD + DP) 1x HDMI 1x Headphone / microphone combo jack 1x Card reader | Dimension: 322.6 x 210.2 x 19.8 mm | Weight: &lt; 1.5 kg | Warranty: Official Advan Warranty 1 Year</t>
  </si>
  <si>
    <t>https://www.agres.id/products/advan-tbook-n100-4gb-128gb-w11-140-dark-gry</t>
  </si>
  <si>
    <t>https://res.cloudinary.com/dbuug9eey/image/upload/v1775538028/products/hnano5lpslqghg2xcp35.jpg</t>
  </si>
  <si>
    <t>murah, terjangkau, tugas ringan, office dasar</t>
  </si>
  <si>
    <t>cpu intel performa dasar grafis ringan penggunaan ringan penyimpanan kecil ringan layar sedang layar standar resolusi rendah mudah dibawa cocok office</t>
  </si>
  <si>
    <t>advan tbook n100 4gb intel core uhd graphics grafis terintegrasi ram ssd 128gb layar 14.0 inch cpu performa dasar ringan penggunaan penyimpanan kecil sedang standar resolusi rendah mudah dibawa cocok office nugas skripsi kuliah sekolah pelajar mahasiswa browsing internet zoom meeting nonton film youtube word excel presentasi ppt sering bepergian traveling mobilitas tinggi enteng tipis ke kampus nongkrong cafe murah tugas</t>
  </si>
  <si>
    <t>ADVAN TBOOK N100 4GB 128GB W11 14.0 GRY</t>
  </si>
  <si>
    <t>https://www.agres.id/products/advan-tbook-n100-4gb-128gb-w11-140</t>
  </si>
  <si>
    <t>https://res.cloudinary.com/dbuug9eey/image/upload/v1771909330/products/rc2u1s564cjut4oefinq.jpg</t>
  </si>
  <si>
    <t>ADVAN WORKPLUS HERITAGE BATIK RYZEN 5 7535HS 8GB 512GB W11 14.0WUXGA IPS 1Y SLV</t>
  </si>
  <si>
    <t>ADVAN WORKPLUS HERITAGE BATIK</t>
  </si>
  <si>
    <t>7,399,000.00</t>
  </si>
  <si>
    <t>AMD Radeon Vega 3</t>
  </si>
  <si>
    <t>AMD Ryzen 5 7535HS</t>
  </si>
  <si>
    <t>1.45 kg</t>
  </si>
  <si>
    <t>Brand: Advan | Tipe: Workplus Heritage Batik | Color: Silver | Operating System: Windows 11 | Processor: AMD Ryzen 5 7535HS, 6 Cores 12 Threads, up to 4.55 GHz | Graphics: AMD Radeon 660M Graphics | RAM: 8 GB DDR5 | Storage: 512 GB SSD NVMe | Main Display Size: 14 Inch | Main Display Type: IPS | Display Resolution: WUXGA 1920 x 1200, 99% sRGB | Camera: 720p HD Camera | Audio: Built-in Speakers | Battery: 60 Wh | Connectivity: Wi-Fi a/b/g/n/ac, Bluetooth 5.0 | Ports: 2x USB-A 3.2 1x USB-A 2.0 2x USB-C 3.2 1x HDMI 2.1 1x Headphone / microphone combo jack 1x microSD card reader | Dimension: | Weight: | Warranty: Official Advan Warranty</t>
  </si>
  <si>
    <t>https://www.agres.id/products/advan-workplus-heritage-ryzen-5-7535hs-8gb-512gb-w11-140wuxga-1y-slv</t>
  </si>
  <si>
    <t>https://res.cloudinary.com/dbuug9eey/image/upload/v1772777492/products/kyse41dx2j2besfbeujh.jpg</t>
  </si>
  <si>
    <t>cpu amd performa menengah grafis menengah multitasking lancar penyimpanan sangat besar ringan layar sedang layar bagus resolusi standar cocok kerja mudah dibawa</t>
  </si>
  <si>
    <t>advan workplus heritage batik amd ryzen 5 7535hs radeon vega 3 ram 8gb ssd 512gb layar 14.0 inch cpu performa menengah grafis multitasking cukup penyimpanan besar ringan sedang bagus resolusi standar mudah dibawa nugas skripsi kuliah sekolah pelajar mahasiswa browsing internet zoom meeting nonton film youtube word excel presentasi ppt main game valorant dota genshin impact esports edit video desain canva photoshop corel illustrator konten kreator sering bepergian traveling mobilitas tinggi enteng tipis ke kampus nongkrong cafe murah tugas office dasar cepat</t>
  </si>
  <si>
    <t>APPLE MACBOOK AIR 13 M4 8C GPU 16GB 256GB 10C CPU SILVER -MW0W3ID</t>
  </si>
  <si>
    <t>APPLE MACBOOK AIR</t>
  </si>
  <si>
    <t>Apple</t>
  </si>
  <si>
    <t>16,499,000.00</t>
  </si>
  <si>
    <t>macOS</t>
  </si>
  <si>
    <t>Apple Integrated Graphics</t>
  </si>
  <si>
    <t>Apple M4 Chip</t>
  </si>
  <si>
    <t>1.24 kg</t>
  </si>
  <si>
    <t>13,6 Inch</t>
  </si>
  <si>
    <t>Brand: Apple | Tipe: MacBook Air M4 | Color: Silver | Operating System: macOS | Processor: Apple M4 Chip, 10 Core CPU, 8 Core GPU | Graphics: Apple Integrated Graphics | RAM: 16 GB | Storage: 256 GB SSD | Main Display Size: 13.6 Inch | Main Display Type: IPS | Display Resolution: 2560 x 1664 | Camera: 12MP Center Stage Camera with Desk View, 1080p HD Video Recording | Audio: Four-speaker sound system with Dolby Atmos and Spatial Audio support, Three-microphone array | Battery: 53.8 Wh Charger: MagSafe | Connectivity: Wi-Fi 6E, Bluetooth 5.3 | Ports: 1x MagSafe 3 Charging Port 2x Thunderbolt 4 USB-C 1x Headphone Jack 3.5mm | Dimension: 30.41 x 21.5 x 1.13 cm | Weight: 1.24 kg | Warranty: Official Apple  | Warranty 1 Year</t>
  </si>
  <si>
    <t>https://www.agres.id/products/ibox-apple-macbook-air-13-m4-8c-gpu-16gb-256gb-10c-cpu-silver--mw0w3id-1</t>
  </si>
  <si>
    <t>https://res.cloudinary.com/dbuug9eey/image/upload/v1767593009/products/eq26gwrujpncqnkjqmfz.jpg</t>
  </si>
  <si>
    <t>ringan, tipis, mudah dibawa, travel, menengah, boot cepat, loading cepat</t>
  </si>
  <si>
    <t>cpu apple ekosistem apple performa sangat tinggi grafis apple multitasking lancar penyimpanan cukup ringan layar compact layar bagus resolusi tinggi cocok kerja mudah dibawa cocok multimedia</t>
  </si>
  <si>
    <t>apple macbook air m4 chip integrated graphics grafis ram 16gb ssd 256gb layar 13.6 inch cpu ekosistem performa sangat tinggi multitasking lancar penyimpanan cukup ringan compact bagus resolusi cocok kerja mudah dibawa multimedia kantor buka banyak tab aplikasi anti lelet coding programming programmer software analis data sering bepergian traveling mobilitas enteng tipis ke kampus nongkrong cafe nonton netflix kualitas bioskop warna akurat manjakan mata desainer tajam travel cepat</t>
  </si>
  <si>
    <t>APPLE MACBOOK AIR 13 M4 8C GPU 16GB 256GB 10C CPU SKYBLUE -MC6T4ID</t>
  </si>
  <si>
    <t>Brand: Apple | Tipe: MacBook Air 13 M4 | Color: Skyblue | Operating System: macOS | Processor: Apple M4 Chip, 10 Core CPU, 8 Core GPU | Graphics: Apple Integrated Graphics | RAM: 16 GB | Storage: 256 GB SSD | Main Display Size: 13.6 Inch | Main Display Type: IPS | Display Resolution: 2560 x 1664 | Camera: 12MP Center Stage Camera with Desk View, 1080p HD Video Recording | Audio: Four-speaker sound system with Dolby Atmos, Spatial Audio support, Three-microphone array | Battery: 53.8 Wh Charger: MagSafe Keyboard: Backlit Magic Keyboard with Touch ID | Connectivity: Wi-Fi 6E, Bluetooth 5.3 | Ports: 1x MagSafe 3 Charging Port 2x Thunderbolt 4 USB-C 1x Headphone Jack 3.5mm | Dimension: 30.41 x 21.5 x 1.13 cm | Weight: 1.24 kg | Warranty: 1 Year Official Apple Warranty</t>
  </si>
  <si>
    <t>https://www.agres.id/products/ibox-apple-macbook-air-13-m4-8c-gpu-16gb-256gb-10c-cpu-sky-blue-mc6t4id-1</t>
  </si>
  <si>
    <t>https://res.cloudinary.com/dbuug9eey/image/upload/v1767592528/products/won5udmxufbvfjx6ntof.jpg</t>
  </si>
  <si>
    <t>APPLE MACBOOK PRO 14 M5 10C GPU 16GB 1TB 10C CPU 14.0 SPACE BLACK -MDE14ID</t>
  </si>
  <si>
    <t>APPLE MACBOOK PRO</t>
  </si>
  <si>
    <t>29,999,000.00</t>
  </si>
  <si>
    <t>Apple M5 Chip</t>
  </si>
  <si>
    <t>1.55 kg</t>
  </si>
  <si>
    <t>14,2 Inch</t>
  </si>
  <si>
    <t>Mini LED</t>
  </si>
  <si>
    <t>Brand: Apple | Tipe: APPLE MACBOOK PRO | Color: Space Black | Operating System: macOS Dimensions: 31.26 x 22.12 x 1.55 cm | Weight: 1.55 kg | Processor: Apple M5 Chip CPU 10-Core GPU 10-Core | Graphics: Apple Integrated Graphics | RAM: 16 GB | Storage: 1 TB | Main Display Size: 14.2 Inch | Main Display Type: Mini LED | Display Resolution: 3K+ 3024 x 1964 Pixel Pixel Density: 254 ppi Keyboard: Backlit Magic Keyboard with Touch ID Trackpad: Force Touch Trackpad | Camera: 12 MP Center Stage Video Recording: 1080p HD | Audio: Six-speaker sound system with Spatial Audio and Dolby Atmos Microphone: Three studio-quality microphones Headphone Jack: 3.5 mm | Battery: 72.4 Wh Lithium-Polymer | Ports: SDXC Card Slot HDMI Thunderbolt 4 USB-C MagSafe 3 Headphone Jack Wireless: Wi-Fi 6E Bluetooth: 5.3</t>
  </si>
  <si>
    <t>https://www.agres.id/products/ibox-apple-macbook-pro-14-m5-10c-gpu-16gb-1tb-10c-cpu-140-space-black-mde14id</t>
  </si>
  <si>
    <t>https://res.cloudinary.com/dbuug9eey/image/upload/v1766834789/products/jupzz2nhrn35mkeuthmk.jpg</t>
  </si>
  <si>
    <t>sultan, premium</t>
  </si>
  <si>
    <t>cpu apple ekosistem apple performa sangat tinggi grafis apple multitasking lancar penyimpanan sangat besar sedang layar sedang layar premium resolusi tinggi cocok kerja cocok multimedia</t>
  </si>
  <si>
    <t>apple macbook pro m5 chip integrated graphics grafis ram 16gb ssd 1tb layar 14.2 inch cpu ekosistem performa sangat tinggi multitasking lancar penyimpanan besar sedang premium resolusi cocok kerja multimedia kantor buka banyak tab aplikasi anti lelet coding programming programmer software analis data nonton netflix kualitas bioskop warna akurat manjakan mata desainer tajam sultan</t>
  </si>
  <si>
    <t>APPLE MACBOOK PRO 14 M5 10C GPU 16GB 512GB 10C CPU 14.0 SPACE BLACK -MDE04ID</t>
  </si>
  <si>
    <t>27,799,000.00</t>
  </si>
  <si>
    <t>3K+ 3024 x 1964</t>
  </si>
  <si>
    <t>Brand: Apple | Tipe: APPLE MACBOOK PRO | Color: Space Black | Operating System: macOS Dimensions: 31.26 x 22.12 x 1.55 cm | Weight: 1.55 kg | Processor: Apple M5 Chip CPU 10-Core GPU 10-Core | Graphics: Apple Integrated Graphics | RAM: 16 GB | Storage: 512 GB | Main Display Size: 14.2 Inch | Main Display Type: Mini LED | Display Resolution: 3K+ 3024 x 1964 Pixel Pixel Density: 254 ppi Keyboard: Backlit Magic Keyboard with Touch ID Trackpad: Force Touch Trackpad | Camera: 12 MP Center Stage Video Recording: 1080p HD | Audio: Six-speaker sound system with Spatial Audio and Dolby Atmos Microphone: Three studio-quality microphones Headphone Jack: 3.5 mm | Battery: 72.4 Wh Lithium-Polymer | Ports: SDXC Card Slot HDMI Thunderbolt 4 USB-C MagSafe 3 Headphone Jack Wireless: Wi-Fi 6E Bluetooth: 5.3</t>
  </si>
  <si>
    <t>https://www.agres.id/products/ibox-apple-macbook-pro-14-m5-10c-gpu-16gb-512gb-10c-cpu-140-space-black-mde04id</t>
  </si>
  <si>
    <t>PRODUK HABIS</t>
  </si>
  <si>
    <t>cpu apple ekosistem apple performa sangat tinggi grafis apple multitasking lancar penyimpanan besar sedang layar sedang layar premium resolusi tinggi cocok kerja cocok multimedia</t>
  </si>
  <si>
    <t>apple macbook pro m5 chip integrated graphics grafis ram 16gb ssd 512gb layar 14.2 inch cpu ekosistem performa sangat tinggi multitasking lancar penyimpanan besar sedang premium resolusi cocok kerja multimedia kantor buka banyak tab aplikasi anti lelet coding programming programmer software analis data nonton netflix kualitas bioskop warna akurat manjakan mata desainer tajam sultan</t>
  </si>
  <si>
    <t>ASUS EXPERTBOOK BG1409CVA I5 1334 16GB 512GB 14.0FHD W11PRO 3Y -S65150X</t>
  </si>
  <si>
    <t>ASUS EXPERTBOOK BG1409CVA I5</t>
  </si>
  <si>
    <t>ASUS</t>
  </si>
  <si>
    <t>14,900,000.00</t>
  </si>
  <si>
    <t>Intel Iris Xe Graphics</t>
  </si>
  <si>
    <t>Intel Core i5-1334U</t>
  </si>
  <si>
    <t>1.39 kg</t>
  </si>
  <si>
    <t>Brand: ASUS | Tipe: EXPERTBOOK BG1409CVA | Color: Misty Grey | Operating System: Windows 11 Pro | Processor: Intel Core i5-1334U | Graphics: Intel Iris Xe Graphics | RAM: 16 GB DDR5 SO-DIMM | Storage: 512 GB M.2 2280 NVMe PCIe 4.0 SSD | Main Display Size: 14 Inch | Main Display Type: IPS Anti Glare | Display Resolution: 1920 x 1080 | Camera: 720p HD Camera with Privacy Shutter | Audio: Audio Stereo | Battery: 42 WHrs Charger: Type-C 65 W AC Adapter | Connectivity: Wi-Fi 6E, Bluetooth 5.3 | Ports: 2x USB Type-C 2x USB Type-A 1x HDMI 1x 3.5mm Audio Jack 1x RJ45 | Dimension: | Weight: 1.39 kg | Warranty: 3 Years Official ASUS Warranty + 1 Year ADP</t>
  </si>
  <si>
    <t>https://www.agres.id/products/asus-expertbook-bg1409cva-i5-13334u-16gb-512gb-140fhd-w11pro-3y-tkdn-s65150x</t>
  </si>
  <si>
    <t>gaming ringan, esports, ringan, tipis, mudah dibawa, travel, menengah, multitasking, lancar, kinerja cepat, boot cepat, loading cepat</t>
  </si>
  <si>
    <t>cpu intel performa menengah grafis ringan multitasking lancar penyimpanan besar ringan layar sedang layar bagus resolusi standar cocok kerja mudah dibawa cocok office</t>
  </si>
  <si>
    <t>asus expertbook bg1409cva i5 intel core 1334u iris xe graphics grafis terintegrasi ram 16gb ssd 512gb layar 14.0 inch cpu performa menengah ringan multitasking lancar penyimpanan besar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gaming esports travel cepat</t>
  </si>
  <si>
    <t>ASUS EXPERTBOOK BG1409CVA I7 1355 16GB 1TB 14.0 FHD W11 3Y TKDN -S67110W</t>
  </si>
  <si>
    <t>ASUS EXPERTBOOK BG1409CVA I7</t>
  </si>
  <si>
    <t>16,000,000.00</t>
  </si>
  <si>
    <t>Intel Core i7-1355U</t>
  </si>
  <si>
    <t>Brand: ASUS | Tipe: ExpertBook BG1409CVA | Color: Black | Operating System: Windows 11 Home | Processor: Intel Core i7-1355U, 10 Cores, up to 5.0 GHz | Graphics: Intel Iris Xe Graphics | RAM: 16 GB DDR5 (Upgradeable) | Storage: 1 TB SSD NVMe PCIe 4.0 | Main Display Size: 14 Inch | Main Display Type: IPS-Level LCD | Display Resolution: FHD 1920 x 1080, 300 nits, 45% NTSC | Camera: HD Webcam 720p with Privacy Shutter | Audio: Dual stereo speakers with ICEpower, SonicMaster | Battery: 50 Wh | Connectivity: Wi-Fi 6E, Bluetooth 5.3 | Ports: 2x USB-C 2x USB-A 1x HDMI 1x Headphone / microphone combo jack 1x RJ-45 Ethernet | Dimension: 32.45 x 21.44 x 1.97 cm | Weight: 1.4 kg | Warranty: Official ASUS Warranty</t>
  </si>
  <si>
    <t>https://www.agres.id/products/asus-expertbook-bg1409cva-i7-1355u-16gb-1tb-ssd-140-fhd-w11-3y-tkdn-s67110w</t>
  </si>
  <si>
    <t>gaming berat, editing video, render 3d, gaming ringan, esports, ringan, tipis, mudah dibawa, travel, menengah, multitasking, lancar, kinerja cepat, boot cepat, loading cepat</t>
  </si>
  <si>
    <t>asus expertbook bg1409cva i7 intel core 1355u iris xe graphics grafis terintegrasi ram 16gb ssd 1tb layar 14.0 inch cpu performa tinggi ringan multitasking lancar penyimpanan sangat besar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gaming berat editing video render 3d esports travel cepat</t>
  </si>
  <si>
    <t>ASUS GAMING V16 V3607VM CORE I7 240H RTX5060 8GB/ 16GB 512GB W11+OHS+M365B 16.WUXGA 144HZ BLK -I7N56B6T-HM</t>
  </si>
  <si>
    <t>ASUS GAMING V16 V3607VM</t>
  </si>
  <si>
    <t>20,449,000.00</t>
  </si>
  <si>
    <t>LED</t>
  </si>
  <si>
    <t>Brand: ASUS | Tipe: GAMING V16 V3607VM | Color: Black | Operating System: Windows 11 Home SL + Microsoft Office Home Student + Microsoft 365 Basic | Processor: Intel Core 7 240H (10 Cores 16 Threads up to 5.2GHz) | Graphics: NVIDIA GeForce RTX 5060 Laptop GPU 8GB GDDR7 plus Intel Graphics | RAM: 16 GB DDR5-5600 SO-DIMM | Storage: 512 GB SSD M.2 PCIe 4.0 NVMe | Main Display Size: 16 Inch | Main Display Type: LED Anti-Glare 144Hz | Display Resolution: WUXGA 1920 x 1200, 16:10, 300 nits | Camera: 1080p FHD with Privacy Shutter | Audio: SonicMaster Stereo Speaker | Battery: 63 Wh Charger: 150 W AC Adapter | Connectivity: Wi-Fi 6, Bluetooth 5.3 | Ports: 2x USB 3.2 Gen 1 Type-A 1x USB 3.2 Gen 1 Type-C support display and power delivery 1x HDMI 2.1 FRL 1x Audio Jack 1x Power Port | Dimension: | Weight: 1.95 kg | Warranty: 2 Years Official ASUS Indonesia Warranty</t>
  </si>
  <si>
    <t>https://www.agres.id/products/asus-gaming-v16-v3607vm-core-i7-240h-rtx5060-8gb-16gb-512gb-w11ohsm365-16wuxga-144hz-blk-i7n56b6t-hm</t>
  </si>
  <si>
    <t>https://res.cloudinary.com/dbuug9eey/image/upload/v1765798344/products/svjxhintgbnjgznlfxtt.jpg</t>
  </si>
  <si>
    <t>gaming berat, editing video, render 3d, layar besar, nyaman nonton, multimedia, sultan, premium, layar mulus, gaming cepat, multitasking, lancar, kinerja cepat, boot cepat, loading cepat, office, kuliah, presentasi</t>
  </si>
  <si>
    <t>cpu intel performa dasar gaming berat multitasking lancar penyimpanan besar sedang layar besar resolusi standar cocok gaming cocok kerja</t>
  </si>
  <si>
    <t>asus gaming v16 v3607vm intel core 7 240h nvidia geforce rtx 5060 ram 16gb ssd 512gb layar 16.0 inch cpu performa dasar berat multitasking lancar penyimpanan besar sedang resolusi standar cocok kerja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editing nyaman multimedia sultan premium mulus cepat office</t>
  </si>
  <si>
    <t>ASUS PROART P16 OLED TOUCH H7606WM RYZEN AI 9 370 RTX5060 8GB/ 32GB 1TB W11+OHS+M365B 16.0 2.8K BLACK -OLEDS9312TM</t>
  </si>
  <si>
    <t>ASUS PROART P16 OLED</t>
  </si>
  <si>
    <t>45,299,000.00</t>
  </si>
  <si>
    <t>AMD Ryzen AI 9 HX 370</t>
  </si>
  <si>
    <t>1.85 kg</t>
  </si>
  <si>
    <t>Brand: ASUS | Tipe: ProArt P16 OLED Touch H7606WM | Color: Black | Operating System: Windows 11 Home + Microsoft Office Home &amp; Student + Microsoft 365 Basic | Processor: AMD Ryzen AI 9 HX 370, 12 Cores, up to 5.1 GHz | Graphics: NVIDIA GeForce RTX 5060 Laptop GPU 8GB GDDR7 | RAM: 32 GB LPDDR5X (On Board) | Storage: 1 TB SSD NVMe PCIe 4.0 | Main Display Size: 16 Inch | Main Display Type: OLED Touchscreen | Display Resolution: 2.8K 2880 x 1800, 120 Hz, 100% DCI-P3 | Camera: FHD Camera with IR Windows Hello | Audio: Built-in speaker with Smart Amp Technology | Battery: 90 Wh Charger: DC-in Power Adapter | Connectivity: Wi-Fi 7, Bluetooth 5.4 | Ports: 1x USB-A 2x USB-C 1x HDMI 2.1 1x Headphone / microphone combo jack 1x microSD card reader</t>
  </si>
  <si>
    <t>https://www.agres.id/products/asus-proart-p16-oled-touch-h7606wm-ryzen-ai-9-370-rtx5060-8gb-32gb-1tb-w11ohsm365b-160-2.8K-black-oleds9312tm</t>
  </si>
  <si>
    <t>https://res.cloudinary.com/dbuug9eey/image/upload/v1775896986/products/l3gv9bqaf8isizfcdenk.jpg</t>
  </si>
  <si>
    <t>cpu amd performa sangat tinggi ai ready gaming berat multitasking ekstrem penyimpanan sangat besar sedang layar besar layar oled resolusi tinggi cocok gaming cocok multimedia</t>
  </si>
  <si>
    <t>asus proart p16 oled amd ryzen ai 9 hx 370 nvidia geforce rtx 5060 ram 32gb ssd 1tb layar 16.0 inch cpu performa sangat tinggi ready gaming berat multitasking ekstrem penyimpanan besar sedang resolusi cocok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premium mulus cepat lancar office kuliah presentasi</t>
  </si>
  <si>
    <t>ASUS ROG FLOW Z13 GZ302EA TOUCH RYZEN AI MAX+ 395 32GB 1TB W11+OHS 13.4 WQXGA 180HZ PEN 2IN1 BLK -RZA86N6G-HM</t>
  </si>
  <si>
    <t>ASUS ROG FLOW Z13</t>
  </si>
  <si>
    <t>36,999,000.00</t>
  </si>
  <si>
    <t>AMD Radeon 8060S Graphics</t>
  </si>
  <si>
    <t>AMD Ryzen AI MAX+ 395</t>
  </si>
  <si>
    <t>13,4 Inch</t>
  </si>
  <si>
    <t>Brand: ASUS | Tipe: ROG Series | Color: Black | Operating System: Windows 11 Home + Microsoft Office Home &amp; Student | Processor: AMD Ryzen AI MAX+ 395, 16 Cores 32 Threads, up to 5.1 GHz with AMD XDNA NPU up to 50 TOPS | Graphics: AMD Radeon 8060S Graphics | RAM: 32 GB LPDDR5X 8000 Onboard Quad Channel | Storage: 1 TB SSD M.2 PCIe 4.0 NVMe | Main Display Size: 13.4 Inch | Main Display Type: IPS Level Glossy, ROG Nebula Display, Touchscreen | Display Resolution: WQXGA 2560 x 1600, 16:10, 180 Hz, 100% DCI-P3, Pantone Validated | Camera: 13 MP Camera + 5 MP IR Camera | Audio: Dolby Atmos Hi-Res Smart Amplifier | Battery: 70 Wh Charger: 200 W AC Adapter + USB-C 100 W | Connectivity: Wi-Fi 7, Bluetooth 5.4 | Ports: 1x USB 3.2 Gen 2 Type-A 2x USB4 Type-C with DisplayPort and Power Delivery 1x HDMI 2.1 FRL 1x Audio Combo Jack 1x microSD Card Reader UHS-II | Dimension: | Weight: | Warranty: Official ASUS Warranty 2 Years</t>
  </si>
  <si>
    <t>https://www.agres.id/products/asus-rog-flow-z13-gz302ea-touch-ryzen-ai-max-395-32gb-1tb-w11ohs-134-25k-180hz-pen-2in1-blk--rza86n6g-hm</t>
  </si>
  <si>
    <t>https://res.cloudinary.com/dbuug9eey/image/upload/v1765626076/products/scfgupwvihbob8d9vypz.jpg</t>
  </si>
  <si>
    <t>ringan, tipis, mudah dibawa, travel, sultan, premium, layar mulus, gaming cepat, multitasking, lancar, kinerja cepat, boot cepat, loading cepat, office, kuliah, presentasi, bisa menggambar, desain digital, layar sentuh, mode tablet</t>
  </si>
  <si>
    <t>cpu amd performa dasar ai ready grafis menengah multitasking ekstrem penyimpanan sangat besar sedang layar compact layar bagus resolusi tinggi cocok multimedia</t>
  </si>
  <si>
    <t>asus rog flow z13 amd ryzen ai max 395 radeon 8060s graphics ram 32gb ssd 1tb layar 13.4 inch cpu performa dasar ready grafis menengah multitasking ekstrem penyimpanan sangat besar sedang compact bagus resolusi tinggi cocok multimedia nugas skripsi kuliah sekolah pelajar mahasiswa browsing internet zoom meeting nonton film youtube word excel presentasi ppt kantor buka banyak tab aplikasi anti lelet coding programming programmer software analis data main game ringan valorant dota genshin impact esports edit video desain canva photoshop corel illustrator konten kreator netflix kualitas bioskop warna akurat manjakan mata desainer tajam tipis mudah dibawa travel sultan premium mulus gaming cepat lancar office bisa menggambar digital sentuh mode tablet</t>
  </si>
  <si>
    <t>ASUS ROG STRIX G16 G614FR RYZEN 9 9955HX3D RTX5070TI 12GB/ 32GB 1TB W11+OHS+M365B 16.0WQXGA 240HZ 100DCIP3 (BOX MOU) GRY -R9NT7C6G-HM</t>
  </si>
  <si>
    <t>ASUS ROG STRIX G16</t>
  </si>
  <si>
    <t>43,799,000.00</t>
  </si>
  <si>
    <t>NVIDIA GeForce RTX 5070 Ti</t>
  </si>
  <si>
    <t>AMD Ryzen 9 9955HX3D</t>
  </si>
  <si>
    <t>2.5 kg</t>
  </si>
  <si>
    <t>Brand: ASUS ROG | Tipe: ROG Gaming Laptop | Color: Black | Operating System: Windows 11 Home + Microsoft Office Home and Student + Microsoft 365 Basic | Processor: AMD Ryzen 9 9955HX3D, 16 Cores, 32 Threads, up to 5.4 GHz | Graphics: NVIDIA GeForce RTX 5070 Ti Laptop GPU 12 GB GDDR7 | RAM: 32 GB DDR5 5600 MHz (Up to 64 GB, 2x SO-DIMM) | Storage: 1 TB PCIe 4.0 NVMe™ M.2 SSD | Main Display Size: 16 Inch | Main Display Type: IPS-level, Anti-glare, ROG Nebula Display | Display Resolution: WQXGA 2560 x 1600, 240 Hz, 100 Percent DCI-P3 | Camera: FHD 1080P Webcam | Audio: Dual speakers with Dolby Atmos, Hi-Res Audio, Smart Amplifier | Battery: 90 Wh | Connectivity: Wi-Fi 6E, Bluetooth 5.3 | Ports: 2x USB-A 3.2 Gen 2 2x USB-C USB4 1x HDMI 2.1 1x Headphone / microphone combo jack 1x Ethernet (RJ-45) | Dimension: | Weight: 2.50 kg | Warranty: Official ASUS Warranty 2 Years</t>
  </si>
  <si>
    <t>https://www.agres.id/products/asus-rog-strix-g16-g614fr-ryzen-9-9955hx3d-rtx5070ti-12gb-32gb-1tb-w11ohsm365b-160wqxga-240hz-100dcip3-box-mou-gry--r9nt7c6g-hm</t>
  </si>
  <si>
    <t>https://res.cloudinary.com/dbuug9eey/image/upload/v1765624917/products/rl15m1mp7rsp98rkvkqh.jpg</t>
  </si>
  <si>
    <t>cpu amd performa sangat tinggi gaming berat gaming extreme multitasking ekstrem penyimpanan sangat besar berat layar besar layar bagus resolusi tinggi cocok gaming cocok multimedia</t>
  </si>
  <si>
    <t>asus rog strix g16 amd ryzen 9 9955hx3d nvidia geforce rtx 5070 ti ram 32gb ssd 1tb layar 16.0 inch cpu performa sangat tinggi gaming berat extreme multitasking ekstrem penyimpanan besar bagus resolusi cocok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premium mulus cepat lancar office kuliah presentasi</t>
  </si>
  <si>
    <t>ASUS ROG STRIX G16 G614PR RYZEN 9 8940HX RTX5070TI 12GB/ 16GB 1TB W11+OHS+M365B 16.0WUXGA 165HZ GRY -R9NT7C6G-HM</t>
  </si>
  <si>
    <t>40,999,000.00</t>
  </si>
  <si>
    <t>AMD Ryzen 9 8940HX</t>
  </si>
  <si>
    <t>Brand: ASUS | Tipe: ROG Strix G16 G614PR | Color: Grey | Operating System: Windows 11 Home + Microsoft Office Home and Student + Microsoft 365 Basic | Processor: AMD Ryzen 9 8940HX 16 Cores 32 Threads up to 5.3 GHz | Graphics: NVIDIA GeForce RTX 5070 Ti Laptop GPU 12 GB GDDR7 up to 140 W | RAM: 16 GB DDR5 5200 MHz Upgradable to 64 GB SO-DIMM | Storage: 1 TB PCIe 4.0 NVMe M.2 SSD | Main Display Size: 16 Inch | Main Display Type: IPS Level Anti Glare | Display Resolution: WUXGA 1920 x 1200 165 Hz 100% sRGB | Camera: FHD 1080P Webcam | Audio: Dolby Atmos Hi Res Audio Smart Amplifier AI Noise Canceling | Battery: 90 Wh Charger: 240 W AC Adapter | Connectivity: Wi-Fi 6E Bluetooth 5.3 | Ports: 2x USB-A 3.2 Gen 2 2x USB-C USB4 support DisplayPort Power Delivery G Sync 1x HDMI 2.1 FRL 1x Ethernet RJ 45 1x Headphone microphone combo jack | Dimension: | Weight: 2.5 kg | Warranty: Official ASUS Warranty 2 Years</t>
  </si>
  <si>
    <t>https://www.agres.id/products/asus-rog-strix-g16-g614pr-ryzen-9-8940hx-rtx5070ti-12gb-16gb-1tb-w11ohsm365b-160fhd-165hz-gry--r9nt7c6g-hm</t>
  </si>
  <si>
    <t>https://res.cloudinary.com/dbuug9eey/image/upload/v1765623714/products/x5zbspwkrvkvfuqbwzkc.jpg</t>
  </si>
  <si>
    <t>cpu amd performa sangat tinggi gaming berat gaming extreme multitasking lancar penyimpanan sangat besar berat layar besar layar bagus resolusi standar cocok gaming cocok kerja</t>
  </si>
  <si>
    <t>asus rog strix g16 amd ryzen 9 8940hx nvidia geforce rtx 5070 ti ram 16gb ssd 1tb layar 16.0 inch cpu performa sangat tinggi gaming berat extreme multitasking lancar penyimpanan besar bagus resolusi standar cocok kerja kantor buka banyak tab aplikasi anti lelet coding programming programmer software analis data gamer rata kanan gta cyberpunk render 3d autocad blender sketchup video editor profesional premiere pro after effects editing nyaman nonton multimedia sultan premium mulus cepat office kuliah presentasi</t>
  </si>
  <si>
    <t>ASUS ROG STRIX SCAR 16 G635LW ULTRA 9 275HX RTX5080 16GB/ 32GB 2TB W11+OHS 16.0 WQXGA MINILED 240HZ PKRGB(BOX MOU) BLK -I9N58MZT-HM</t>
  </si>
  <si>
    <t>ASUS ROG STRIX SCAR</t>
  </si>
  <si>
    <t>79,599,000.00</t>
  </si>
  <si>
    <t>NVIDIA GeForce RTX 5080</t>
  </si>
  <si>
    <t>Intel Core Ultra 9 275HX</t>
  </si>
  <si>
    <t>2 TB</t>
  </si>
  <si>
    <t>2.8 kg</t>
  </si>
  <si>
    <t>Brand: ASUS | Tipe: ROG STRIX SCAR 16 G635LW | Color: Black | Operating System: Windows 11 Home + Office Home Student | Processor: Intel Core Ultra 9 275HX Up To 5.4 GHz 24 Cores 24 Threads With Intel AI Boost NPU Up To 13 TOPS | Graphics: NVIDIA GeForce RTX 5080 Laptop GPU 16 GB GDDR7 ROG Boost Up To 175 W Dynamic Boost | RAM: 32 GB DDR5-5600 SO-DIMM Dual Channel (Upgradeable Up To 64 GB) | Storage: 2 TB SSD M.2 PCIe 4.0 NVMe Dual M.2 Slots | Main Display Size: 16 Inch | Main Display Type: Mini LED Anti-Glare ROG Nebula HDR Display | Display Resolution: WQXGA 2560 x 1600 100% DCI-P3 | Camera: 1080P FHD IR Camera With Windows Hello | Audio: Dolby Atmos 4 Speaker System With Smart Amplifier Hi-Res Certified | Battery: 90 Wh 4 Cell Li-ion Charger: 380 W AC Adapter + 100 W USB-C Power Delivery | Connectivity: Wi-Fi 7 Bluetooth 5.4 | Ports: 3x USB 3.2 Gen 2 Type-A 2x Thunderbolt 5 DisplayPort Power Delivery G-SYNC 1x HDMI 2.1 FRL 1x 2.5G LAN 1x Audio Jack Keyboard: Backlit Chiclet Keyboard Per-Key RGB With Copilot Key Material: Premium Gaming Chassis | Dimension: | Weight: 2.80 kg | Warranty: 2 Years Official ASUS Warranty</t>
  </si>
  <si>
    <t>https://www.agres.id/products/asus-rog-strix-scar-16-g635lw-ultra-9-275hx-rtx5080-16gb-32gb-2tb-w11ohs-160-25k-miniled-240hz-pkrgbbox-mou-blk--i9n58mzt-hm</t>
  </si>
  <si>
    <t>https://res.cloudinary.com/dbuug9eey/image/upload/v1765852052/products/lm2sfawywljg48fwabhi.jpg</t>
  </si>
  <si>
    <t>gaming berat, editing video, render 3d, layar besar, nyaman nonton, multimedia, sultan, premium, multitasking, lancar, kinerja cepat, boot cepat, loading cepat, office, kuliah, presentasi</t>
  </si>
  <si>
    <t>cpu intel performa sangat tinggi gaming berat gaming extreme multitasking ekstrem penyimpanan sangat besar berat layar besar layar premium resolusi tinggi cocok gaming cocok multimedia</t>
  </si>
  <si>
    <t>asus rog strix scar intel core ultra 9 275hx nvidia geforce rtx 5080 ram 32gb ssd 2tb layar 16.0 inch cpu performa sangat tinggi gaming berat extreme multitasking ekstrem penyimpanan besar premium resolusi cocok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lancar cepat office kuliah presentasi</t>
  </si>
  <si>
    <t>ASUS ROG ZEPHYRUS G14 OLED GA403UH RYZEN 9 270 RTX5050 8GB/ 32GB 1TB W11+OHS+M365B 14.0 NEBULA WQXGA+ 120HZ GRY -R9N55OL6G-HM</t>
  </si>
  <si>
    <t>ASUS ROG ZEPHYRUS G14</t>
  </si>
  <si>
    <t>33,199,000.00</t>
  </si>
  <si>
    <t>AMD Ryzen 9 270</t>
  </si>
  <si>
    <t>Brand: ASUS | Tipe: ROG | Color: Grey | Operating System: Windows 11 Home + Microsoft Office Home &amp; Student + Microsoft 365 Basic | Processor: AMD Ryzen 9 270 Processor 8 Cores 16 Threads up to 5.2 GHz with AMD XDNA™ NPU up to 16 TOPS | Graphics: NVIDIA GeForce RTX 5050 Laptop GPU 8GB GDDR7 up to 2142 MHz 90 W with Dynamic Boost | RAM: 32 GB LPDDR5X 7500 Dual Channel Onboard | Storage: 1 TB PCIe 4.0 NVMe™ M.2 SSD | Main Display Size: 14 Inch | Main Display Type: ROG Nebula Display OLED | Display Resolution: 2.8K 2880 x 1800 16:10 120 Hz G Sync Adaptive Sync 100% DCI P3 Pantone Validated Dolby Vision HDR | Camera: 1080P FHD IR Camera with Windows Hello | Audio: Dolby Atmos Quad Speaker Smart Amplifier Hi Res Audio AI Noise Canceling | Battery: 73 Wh Li ion 4 Cell Charger: 200 W AC Adapter and USB Type C 100 W | Connectivity: Wi Fi 7 802.11be Bluetooth 5.4 | Ports: 2x USB 3.2 Gen 2 Type A 1x USB 3.2 Gen 2 Type C DisplayPort Power Delivery G Sync 1x USB4 Type C DisplayPort Power Delivery 1x HDMI 2.1 FRL 1x Audio Jack 1x microSD Card Reader UHS II Keyboard: Backlit Chiclet Keyboard 1 Zone RGB with Copilot Key | Weight: 1.50 kg | Warranty: Official ASUS Indonesia Warranty 2 Years + 1 Year ADP</t>
  </si>
  <si>
    <t>https://www.agres.id/products/asus-rog-zephyrus-g14-oled-ga403uh-ryzen-9-270-rtx5050-8gb-32gb-1tb-w11ohsm365b-140-nebula-wqxga-120hz-gry--r9n55ol6g-hm</t>
  </si>
  <si>
    <t>https://res.cloudinary.com/dbuug9eey/image/upload/v1765765536/products/byegxhf8kx7iikw0esj9.jpg</t>
  </si>
  <si>
    <t>gaming berat, editing video, render 3d, sultan, premium, layar mulus, gaming cepat, multitasking, lancar, kinerja cepat, boot cepat, loading cepat, office, kuliah, presentasi</t>
  </si>
  <si>
    <t>cpu amd performa sangat tinggi gaming berat multitasking ekstrem penyimpanan sangat besar ringan layar sedang layar oled resolusi tinggi cocok gaming mudah dibawa cocok multimedia</t>
  </si>
  <si>
    <t>asus rog zephyrus g14 amd ryzen 9 270 nvidia geforce rtx 5050 ram 32gb ssd 1tb layar 14.0 inch cpu performa sangat tinggi gaming berat multitasking ekstrem penyimpanan besar ringan sedang oled resolusi cocok mudah dibawa multimedia kantor buka banyak tab aplikasi anti lelet coding programming programmer software analis data gamer rata kanan gta cyberpunk render 3d autocad blender sketchup video editor profesional premiere pro after effects sering bepergian traveling mobilitas enteng tipis ke kampus nongkrong cafe nonton netflix kualitas bioskop warna akurat manjakan mata desainer tajam editing sultan premium mulus cepat lancar office kuliah presentasi</t>
  </si>
  <si>
    <t>ASUS ROG ZEPHYRUS G16 OLED GA605KH RYZEN AI 7 350 RTX5050 8GB/ 32GB 1TB W11+OHS+M365B 16.0 NEBULA OLED WQXGA WQXGA 240HZ GRY -R7N55OL6G-HM</t>
  </si>
  <si>
    <t>ASUS ROG ZEPHYRUS G16</t>
  </si>
  <si>
    <t>34,799,000.00</t>
  </si>
  <si>
    <t>AMD Ryzen AI 7 350</t>
  </si>
  <si>
    <t>Brand: ASUS ROG | Tipe: ROG Zephyrus G16 | Color: Eclipse Gray | Operating System: Windows 11 Home + Microsoft Office Home &amp; Student + Microsoft 365 Basic | Processor: AMD Ryzen AI 7 350 Processor, 8 Cores 16 Threads, up to 5.0 GHz | Graphics: NVIDIA GeForce RTX 5050 Laptop GPU | RAM: 32 GB LPDDR5X | Storage: 1 TB PCIe 4.0 NVMe™ M.2 SSD | Main Display Size: 16 Inch | Main Display Type: OLED, Glossy, Pantone Validated | Display Resolution: WQXGA 2560 x 1600 | Camera: 1080P FHD IR Camera with Windows Hello | Audio: Not Specified | Battery: 90 Wh | Connectivity: Wi-Fi 7 Bluetooth 5.4 | Ports: 2x USB-A 1x USB-C 1x Thunderbolt 4 1x HDMI 2.1 1x SD Card Reader | Dimension: 35.4 x 24.6 x 1.49 ~ 1.64 cm | Weight: 1.85 kg | Warranty: Official ASUS Warranty</t>
  </si>
  <si>
    <t>https://www.agres.id/products/asus-rog-zephyrus-g16-oled-ga605kh-ryzen-ai-7-350-rtx5050-8gb-32gb-1tb-w11ohsm365b-160-nebula-oled-wqxga-25k-240hz-gry-r7n55ol6g-hm</t>
  </si>
  <si>
    <t>https://res.cloudinary.com/dbuug9eey/image/upload/v1769238466/products/rlgg9rjatb7tqeyg4kh6.jpg</t>
  </si>
  <si>
    <t>cpu amd performa dasar ai ready gaming berat multitasking ekstrem penyimpanan sangat besar sedang layar besar layar oled resolusi tinggi cocok gaming cocok multimedia</t>
  </si>
  <si>
    <t>asus rog zephyrus g16 amd ryzen ai 7 350 nvidia geforce rtx 5050 ram 32gb ssd 1tb layar 16.0 inch cpu performa dasar ready gaming berat multitasking ekstrem penyimpanan sangat besar sedang oled resolusi tinggi cocok multimedia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netflix kualitas bioskop warna akurat manjakan mata desainer tajam editing nyaman sultan premium lancar cepat office</t>
  </si>
  <si>
    <t>ASUS TUF A15 FA506NCQ RYZEN 7 170 RTX3050 4GB/ 16GB 512GB W11+OHS+M365B 15.6FHD IPS BLK -R735B6T-HM</t>
  </si>
  <si>
    <t>ASUS TUF A15 FA506NCQ</t>
  </si>
  <si>
    <t>16,349,000.00</t>
  </si>
  <si>
    <t>AMD Ryzen 7 170</t>
  </si>
  <si>
    <t>2.3 kg</t>
  </si>
  <si>
    <t>Brand: ASUS | Tipe: TUF A15 FA506NCQ | Color: Graphite Black | Operating System: Windows 11 Home + Microsoft Office Home &amp; Student + Microsoft 365 Basic | Processor: AMD Ryzen 7 170, 8 Cores, 16 Threads, up to 4.75 GHz | Graphics: NVIDIA GeForce RTX 3050 Laptop GPU 4GB GDDR6 | RAM: 16 GB DDR5 (Upgradeable to 64 GB, SO-DIMM) | Storage: 512 GB SSD NVMe PCIe 4.0 | Main Display Size: 15.6 Inch | Main Display Type: IPS-Level, Anti-glare, 144Hz | Display Resolution: FHD 1920 x 1080, 62.5% sRGB | Camera: HD 720p Webcam | Audio: Two built-in stereo speakers | Battery: 48 Wh Charger: 150 W AC Adapter | Connectivity: Wi-Fi 6, Bluetooth 5.3 | Ports: 3x USB-A 3.2 Gen 2 1x USB-C 3.2 Gen 2 1x HDMI 2.0b 1x Headphone / microphone combo jack 1x Ethernet (RJ-45) | Warranty: Official ASUS Warranty</t>
  </si>
  <si>
    <t>https://www.agres.id/products/asus-tuf-a15-fa506ncq-ryzen-7-170-rtx3050-4gb-16gb-512gb-w11ohsm365b-156fhd-ips-blk-r735b6t-hm</t>
  </si>
  <si>
    <t>https://res.cloudinary.com/dbuug9eey/image/upload/v1775881787/products/kmqeiojyusf9dssxvs3v.jpg</t>
  </si>
  <si>
    <t>asus tuf a15 fa506ncq amd ryzen 7 170 nvidia geforce rtx 3050 ram 16gb ssd 512gb layar 15.6 inch cpu performa tinggi gaming berat multitasking lancar penyimpanan besar sedang bagus resolusi standar cocok kerja kantor buka banyak tab aplikasi anti lelet coding programming programmer software analis data gamer rata kanan gta cyberpunk render 3d autocad blender sketchup video editor profesional premiere pro after effects editing nyaman nonton multimedia mulus cepat office kuliah presentasi</t>
  </si>
  <si>
    <t>ASUS TUF A15 FA506NCQ RYZEN 7 170 RTX3050 4GB/ 8GB 512GB W11+OHS+M365B 15.6FHD IPS BLK -R735B1T-HM</t>
  </si>
  <si>
    <t>15,379,000.00</t>
  </si>
  <si>
    <t>Brand: ASUS | Tipe: TUF A15 FA506NCQ | Color: Graphite Black | Operating System: Windows 11 Home + Microsoft Office Home &amp; Student + Microsoft 365 Basic | Processor: AMD Ryzen 7 170, 8 Cores, 16 Threads, up to 4.75 GHz | Graphics: NVIDIA GeForce RTX 3050 Laptop GPU 4GB GDDR6 | RAM: 8 GB DDR5 (Upgradeable to 64 GB, SO-DIMM) | Storage: 512 GB SSD NVMe PCIe 4.0 | Main Display Size: 15.6 Inch | Main Display Type: IPS-Level, Anti-glare, 144Hz | Display Resolution: FHD 1920 x 1080, 62.5% sRGB | Camera: HD 720p Webcam | Audio: Two built-in stereo speakers | Battery: 48 Wh Charger: 150 W AC Adapter | Connectivity: Wi-Fi 6, Bluetooth 5.3 | Ports: 3x USB-A 3.2 Gen 2 1x USB-C 3.2 Gen 2 1x HDMI 2.0b 1x Headphone / microphone combo jack 1x Ethernet (RJ-45)</t>
  </si>
  <si>
    <t>https://www.agres.id/products/asus-tuf-a15-fa506ncq-ryzen-7-170-rtx3050-4gb-8gb-512gb-w11ohsm365b-156fhd-ips-blk-r735b1t-hm</t>
  </si>
  <si>
    <t>https://res.cloudinary.com/dbuug9eey/image/upload/v1775892965/products/pkrehpdtfabqmupuv4kl.jpg</t>
  </si>
  <si>
    <t>gaming berat, editing video, render 3d, layar besar, nyaman nonton, multimedia, menengah, layar mulus, gaming cepat, tugas ringan, office dasar, boot cepat, loading cepat, office, kuliah, presentasi</t>
  </si>
  <si>
    <t>cpu amd performa tinggi gaming berat multitasking cukup penyimpanan besar berat layar sedang layar bagus resolusi standar cocok gaming</t>
  </si>
  <si>
    <t>asus tuf a15 fa506ncq amd ryzen 7 170 nvidia geforce rtx 3050 ram 8gb ssd 512gb layar 15.6 inch cpu performa tinggi gaming berat multitasking cukup penyimpanan besar sedang bagus resolusi standar cocok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editing nyaman multimedia mulus cepat tugas ringan office dasar</t>
  </si>
  <si>
    <t>ASUS TUF F16 FX608JHR I7 14650HX RTX5050 8GB/ 16GB 512GB W11+OHS+M365B 16.0WUXGA 165HZ GRY -I7N55J6G-HM</t>
  </si>
  <si>
    <t>ASUS TUF F16 FX608JHR</t>
  </si>
  <si>
    <t>23,299,000.00</t>
  </si>
  <si>
    <t>Intel Core i7 14650HX</t>
  </si>
  <si>
    <t>2.2 kg</t>
  </si>
  <si>
    <t>Brand: ASUS | Tipe: TUF F16 FX608JHR | Color: Black | Operating System: Windows 11 Home + Microsoft Office Home Student + Microsoft 365 Basic | Processor: Intel Core i7 14650HX 16 Cores 24 Threads up to 5.2 GHz | Graphics: NVIDIA GeForce RTX 5050 Laptop GPU 8GB GDDR7 115W | RAM: Up to 64 GB DDR5 Dual Channel | Storage: 512 GB SSD M.2 PCIe 4.0 NVMe | Main Display Size: 16 Inch | Main Display Type: IPS Level Anti Glare | Display Resolution: WUXGA 1920 x 1200 165 Hz G Sync | Camera: 1080P FHD IR Camera with Windows Hello | Audio: Dolby Atmos 2 Speaker System Hi Res Audio | Battery: 90 Wh Charger: 280 W AC Adapter | Connectivity: Wi-Fi 6E Bluetooth 5.4 | Ports: 3x USB 3.2 Gen 2 Type A 1x USB 3.2 Gen 2 Type C with DisplayPort and Power Delivery 1x Thunderbolt 4 with DisplayPort and G Sync 1x HDMI 2.1 FRL 1x Audio Jack 1x RJ45 LAN | Dimension: | Weight: 2.20 kg | Warranty: Official ASUS Warranty 2 Years</t>
  </si>
  <si>
    <t>https://www.agres.id/products/asus-tuf-f16-fx608jhr-i7-14650hx-rtx5050-8gb-16gb-512gb-w11ohsm365-160wuxga-165hz-gry-i7n55j6g-hm</t>
  </si>
  <si>
    <t>https://res.cloudinary.com/dbuug9eey/image/upload/v1765799180/products/zzggk3smfmmictnmiiju.jpg</t>
  </si>
  <si>
    <t>cpu intel performa tinggi gaming berat multitasking ekstrem penyimpanan besar berat layar besar layar bagus resolusi standar cocok gaming</t>
  </si>
  <si>
    <t>asus tuf f16 fx608jhr intel core i7 14650hx nvidia geforce rtx 5050 ram 16gb ssd 512gb layar 16.0 inch cpu performa tinggi gaming berat multitasking lancar penyimpanan besar bagus resolusi standar cocok kerja kantor buka banyak tab aplikasi anti lelet coding programming programmer software analis data gamer rata kanan gta cyberpunk render 3d autocad blender sketchup video editor profesional premiere pro after effects editing nyaman nonton multimedia sultan premium mulus cepat office kuliah presentasi</t>
  </si>
  <si>
    <t>ASUS VIVOBOOK 14 A1404VA I3 1315U 8GB 256GB W11+OHS+M365B 14.0FHD VIPS BLU -VIPS3824M</t>
  </si>
  <si>
    <t>ASUS VIVOBOOK 14 A1404VA</t>
  </si>
  <si>
    <t>8,199,000.00</t>
  </si>
  <si>
    <t>Brand: Asus | Tipe: Vivobook 14 A1404VA | Color: Quiet Blue | Operating System: Windows 11 Home + Microsoft Office Home &amp; Student + Microsoft 365 Basic (1 Year) | Processor: Intel Core i3-1315U (up to 4.5 GHz, 6 Cores, 8 Threads) | Graphics: Intel UHD Graphics | RAM: 8 GB DDR4 | Storage: 256 GB SSD NVMe PCIe 4.0 | Main Display Size: 14 Inch | Main Display Type: IPS-Level, LED Backlit, Anti-Glare | Display Resolution: FHD 1920 x 1080 | Camera: 720p HD Camera with Privacy Shutter | Audio: SonicMaster Built-in Speaker, Built-in Array Microphone | Battery: 42 Wh Charger: 45 W AC Adapter | Connectivity: Wi-Fi 6E, Bluetooth 5.3 | Ports: 1x USB 2.0 Type-A 1x USB 3.2 Gen1 Type-C 2x USB 3.2 Gen1 Type-A 1x HDMI 1.4 1x DC-In | Dimension: - | Weight: Around 1.4 kg | Warranty: Official Warranty 2 Years</t>
  </si>
  <si>
    <t>https://www.agres.id/products/asus-vivobook-14-a1404va-i3-1315u-8gb-256gb-w11ohsm365b-140fhd-vips-blu-vips3824m</t>
  </si>
  <si>
    <t>https://res.cloudinary.com/dbuug9eey/image/upload/v1774585088/products/b9fj0ohhxrumzf2ktl95.jpg</t>
  </si>
  <si>
    <t>ringan, tipis, mudah dibawa, travel, murah, terjangkau, tugas ringan, office dasar, boot cepat, loading cepat, office, kuliah, presentasi</t>
  </si>
  <si>
    <t>asus vivobook 14 a1404va intel core i3 1315u uhd graphics grafis terintegrasi ram 8gb ssd 256gb layar 14.0 inch cpu performa dasar ringan multitasking cukup penyimpanan sedang bagus resolusi standar mudah dibawa cocok office nugas skripsi kuliah sekolah pelajar mahasiswa browsing internet zoom meeting nonton film youtube word excel presentasi ppt sering bepergian traveling mobilitas tinggi enteng tipis ke kampus nongkrong cafe travel murah tugas cepat</t>
  </si>
  <si>
    <t>ASUS VIVOBOOK 14 A1404VA I3 1315U 8GB 512GB W11+OHS+M365B 14.0FHD VIPS BLU -VIPS3854M</t>
  </si>
  <si>
    <t>8,969,000.00</t>
  </si>
  <si>
    <t>1.38 kg</t>
  </si>
  <si>
    <t>Brand: ASUS | Tipe: Vivobook 14 A1404VA | Color: Quite Blue | Operating System: Windows 11 Home + Microsoft Office Home &amp; Student + Microsoft 365 Basic | Processor: Intel Core i3-1315U, 6 Cores, 8 Threads, up to 4.5 GHz | Graphics: Intel UHD Graphics | RAM: 8 GB DDR4 (On Board) | Storage: 512 GB SSD M.2 NVMe PCIe 4.0 | Main Display Size: 14 Inch | Main Display Type: LED Backlit, Anti Glare | Display Resolution: FHD 1920 x 1080 | Camera: HD 720p Webcam with Privacy Shutter | Audio: Two built-in stereo speakers with SonicMaster | Battery: 42 Wh Charger: 45 W AC Adapter | Connectivity: Wi-Fi 6E, Bluetooth 5.3 | Ports: 2x USB-A 1x USB-C 1x HDMI 1.4 1x Headphone / microphone combo jack | Weight: 1.38 kg | Warranty: Official ASUS Indonesia Warranty 1 Year</t>
  </si>
  <si>
    <t>https://www.agres.id/products/asus-vivobook-14-a1404va-i3-1315u-8gb-512gb-w11ohsm365b-140fhd-vips-blu-vips3854m</t>
  </si>
  <si>
    <t>https://res.cloudinary.com/dbuug9eey/image/upload/v1775805926/products/mkxizpmmpwaxv4ej4x2t.jpg</t>
  </si>
  <si>
    <t>asus vivobook 14 a1404va intel core i3 1315u uhd graphics grafis terintegrasi ram 8gb ssd 512gb layar 14.0 inch cpu performa dasar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travel murah tugas cepat</t>
  </si>
  <si>
    <t>ASUS VIVOBOOK 14 A1404VA I3 1315U 8GB 512GB W11+OHS+M365B 14.0FHD VIPS SLV -VIPS386M</t>
  </si>
  <si>
    <t>Brand: ASUS | Tipe: Vivobook 14 A1404VA | Color: Cool Silver | Operating System: Windows 11 Home + Microsoft Office Home &amp; Student + Microsoft 365 Basic | Processor: Intel Core i3-1315U, 6 Cores, 8 Threads, up to 4.5 GHz | Graphics: Intel UHD Graphics | RAM: 8 GB DDR4 (On Board) | Storage: 512 GB SSD M.2 NVMe PCIe 4.0 | Main Display Size: 14 Inch | Main Display Type: LED Backlit, Anti Glare | Display Resolution: FHD 1920 x 1080 | Camera: HD 720p Webcam with Privacy Shutter | Audio: Two built-in stereo speakers with SonicMaster | Battery: 42 Wh Charger: 45 W AC Adapter | Connectivity: Wi-Fi 6E, Bluetooth 5.3 | Ports: 2x USB-A 1x USB-C 1x HDMI 1.4 1x Headphone / microphone combo jack | Weight: 1.38 kg | Warranty: Official ASUS Indonesia Warranty 1 Year</t>
  </si>
  <si>
    <t>https://www.agres.id/products/asus-vivobook-14-a1404va-i3-1315u-8gb-512gb-w11ohsm365b-140fhd-vips-slv-vips386m</t>
  </si>
  <si>
    <t>https://res.cloudinary.com/dbuug9eey/image/upload/v1775805861/products/v8wrsnrpkreqhuqssisn.jpg</t>
  </si>
  <si>
    <t>ASUS VIVOBOOK 14 A1404VAP CORE I3 100U 8GB 512GB W11+OHS+M365B 14.0FHD VIPS BLU -VIPS3851M</t>
  </si>
  <si>
    <t>ASUS VIVOBOOK 14 A1404VAP</t>
  </si>
  <si>
    <t>9,099,000.00</t>
  </si>
  <si>
    <t>Intel Core 3 100U</t>
  </si>
  <si>
    <t>Brand: ASUS | Tipe: Vivobook A1404VAP | Color: Quite Blue | Operating System: Windows 11 Home + Microsoft Office Home &amp; Student + Microsoft 365 Basic | Processor: Intel Core 3 100U, 6 Cores (2P + 4E), up to 4.7 GHz | Graphics: Intel Graphics | RAM: 8 GB DDR4 (Onboard + 1 Slot) | Storage: 512 GB SSD NVMe PCIe 4.0 | Main Display Size: 14 Inch | Main Display Type: IPS-Level, Anti-glare | Display Resolution: FHD 1920 x 1080, 45% NTSC, 250 nits | Camera: HD 720p Webcam with Privacy Shutter | Audio: SonicMaster Built-in Speaker, Built-in Array Microphone | Battery: 42 Wh Charger: 45 W AC Adapter | Connectivity: Wi-Fi 6, Bluetooth 5.2 | Ports: 2x USB-A 3.2 Gen 1 1x USB-A 2.0 1x USB-C 3.2 Gen 1 1x HDMI 1.4 1x Headphone / microphone combo jack 1x DC-in | Warranty: Official ASUS Warranty 2 Years</t>
  </si>
  <si>
    <t>https://www.agres.id/products/asus-vivobook-14-a1404vap-core-i3-100u-8gb-512gb-w11ohsm365b-140fhd-vips-blu-vips3851m</t>
  </si>
  <si>
    <t>https://res.cloudinary.com/dbuug9eey/image/upload/v1775892018/products/q5iuvibjyxreo2y6tdgc.jpg</t>
  </si>
  <si>
    <t>asus vivobook 14 a1404vap intel core 3 100u graphics grafis terintegrasi ram 8gb ssd 512gb layar 14.0 inch cpu performa dasar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murah tugas cepat</t>
  </si>
  <si>
    <t>ASUS VIVOBOOK 14 A1404VAP CORE I3 100U 8GB 512GB W11+OHS+M365B 14.0FHD VIPS COOL SLV -VIPS3853M</t>
  </si>
  <si>
    <t>Brand: ASUS | Tipe: Vivobook A1404VAP | Color: Cool Silver | Operating System: Windows 11 Home + Microsoft Office Home &amp; Student + Microsoft 365 Basic | Processor: Intel Core 3 100U, 6 Cores (2P + 4E), up to 4.7 GHz | Graphics: Intel Graphics | RAM: 8 GB DDR4 (Onboard + 1 Slot) | Storage: 512 GB SSD NVMe PCIe 4.0 | Main Display Size: 14 Inch | Main Display Type: IPS-Level, Anti-glare | Display Resolution: FHD 1920 x 1080, 45% NTSC, 250 nits | Camera: HD 720p Webcam with Privacy Shutter | Audio: SonicMaster Built-in Speaker, Built-in Array Microphone | Battery: 42 Wh Charger: 45 W AC Adapter | Connectivity: Wi-Fi 6, Bluetooth 5.2 | Ports: 2x USB-A 3.2 Gen 1 1x USB-A 2.0 1x USB-C 3.2 Gen 1 1x HDMI 1.4 1x Headphone / microphone combo jack 1x DC-in | Warranty: Official ASUS Warranty 2 Years</t>
  </si>
  <si>
    <t>https://www.agres.id/products/asus-vivobook-14-a1404vap-core-i3-100u-8gb-512gb-w11ohsm365b-140fhd-vips-cool-slv-vips3853m</t>
  </si>
  <si>
    <t>https://res.cloudinary.com/dbuug9eey/image/upload/v1775891944/products/de6a54n2lel8caykifp6.jpg</t>
  </si>
  <si>
    <t>ASUS VIVOBOOK 14 A1404VAP CORE I5 120U 16GB 512GB W11+OHS+M365B 14.0FHD VIPS BRW -VIPS5152M</t>
  </si>
  <si>
    <t>11,049,000.00</t>
  </si>
  <si>
    <t>Intel Core 5 120U</t>
  </si>
  <si>
    <t>Brand: ASUS | Tipe: Vivobook 14 A1404VAP | Color: Terra Cotta | Operating System: Windows 11 Home + Microsoft Office Home &amp; Student + 1 Year Trial Microsoft 365 Basic | Processor: Intel Core 5 120U, Up to 5.0 GHz, 10 Cores, 12 Threads | Graphics: Intel UHD Graphics | RAM: 16 GB DDR4 (On Board) | Storage: 512 GB M.2 NVMe PCIe 4.0 SSD | Main Display Size: 14.0 Inch | Main Display Type: FHD IPS Level, Anti Glare, Non Touch | Display Resolution: 1920 x 1080, 60 Hz, 250 nits | Camera: 720p HD Webcam with Privacy Shutter | Audio: SonicMaster Speaker with Microphone | Battery: 42 WHrs 3 Cell Li-ion Charger: 45 W Power Adapter | Connectivity: Wi-Fi 6E, Bluetooth 5.3 | Ports: 1x USB 2.0 Type A 1x USB 3.2 Gen 1 Type A 1x USB 3.2 Gen 1 Type C 1x HDMI 1.4 1x DC In | Dimension: 32.49 x 21.39 x 1.79 cm | Weight: 1.40 kg | Warranty: 2 Years Official ASUS + 1 Year APW</t>
  </si>
  <si>
    <t>https://www.agres.id/products/asus-vivobook-14-a1404vap-core-i5-120u-16gb-512gb-w11ohsm365b-140fhd-vips-brw--vips5152m</t>
  </si>
  <si>
    <t>https://res.cloudinary.com/dbuug9eey/image/upload/v1765510192/products/vruqfvfkbzcmcuaqqkxm.jpg</t>
  </si>
  <si>
    <t>ringan, tipis, mudah dibawa, travel, menengah, multitasking, lancar, kinerja cepat, boot cepat, loading cepat, office, kuliah, presentasi</t>
  </si>
  <si>
    <t>asus vivobook 14 a1404vap intel core 5 120u uhd graphics grafis terintegrasi ram 16gb ssd 512gb layar 14.0 inch cpu performa dasar ringan multitasking lancar penyimpanan besar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travel cepat</t>
  </si>
  <si>
    <t>ASUS VIVOBOOK 14 A1404VAP CORE I5 120U 8GB 512GB W11+OHS+M365B 14.0FHD VIPS BLU -VIPS5851M</t>
  </si>
  <si>
    <t>10,399,000.00</t>
  </si>
  <si>
    <t>Intel Core i5-120U</t>
  </si>
  <si>
    <t>Brand: ASUS | Tipe: Vivobook 14 A1404VAP | Color: Quiet Blue | Operating System: Windows 11 Home + Microsoft Office Home + Microsoft 365 Basic | Processor: Intel Core i5-120U, 10 Cores, 12 Threads, up to 5.0 GHz | Graphics: Intel UHD Graphics | RAM: 8 GB DDR4 On Board | Storage: 512 GB SSD M.2 PCIe 4.0 NVMe | Main Display Size: 14 Inch | Main Display Type: IPS Level, Anti Glare, 45% NTSC, TÜV Rheinland Certified | Display Resolution: FHD 1920 x 1080 | Camera: HD 720p Webcam with Privacy Shutter | Audio: SonicMaster Built-in Speaker with Built-in Array Microphone | Battery: 42 Wh Charger: 45 W AC Adapter | Connectivity: Wi-Fi 6E, Bluetooth 5.3 | Ports: 1x USB 2.0 Type A 2x USB 3.2 Gen 1 Type A 1x USB 3.2 Gen 1 Type C 1x HDMI 1.4 1x Headphone / microphone combo jack 1x DC In | Dimension: | Weight: 1.40 kg | Warranty: 2 Years Official ASUS Warranty</t>
  </si>
  <si>
    <t>https://www.agres.id/products/asus-vivobook-14-a1404vap-core-5-120u-8gb-512gb-w11ohsm365b-140fhd-vips-blu-vips5851m</t>
  </si>
  <si>
    <t>https://res.cloudinary.com/dbuug9eey/image/upload/v1765505776/products/msetx8pxavb2du2ugmul.jpg</t>
  </si>
  <si>
    <t>ringan, tipis, mudah dibawa, travel, menengah, tugas ringan, office dasar, boot cepat, loading cepat, office, kuliah, presentasi</t>
  </si>
  <si>
    <t>cpu intel performa menengah grafis ringan multitasking cukup penyimpanan besar ringan layar sedang layar bagus resolusi standar mudah dibawa cocok office</t>
  </si>
  <si>
    <t>asus vivobook 14 a1404vap intel core i5 120u uhd graphics grafis terintegrasi ram 8gb ssd 512gb layar 14.0 inch cpu performa menengah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travel tugas dasar cepat</t>
  </si>
  <si>
    <t>ASUS VIVOBOOK 14 A1404VAP CORE I7 150U 16GB 512GB W11+OHS+M365B 14.0FHD VIPS SILVER -VIPS7156M</t>
  </si>
  <si>
    <t>13,899,000.00</t>
  </si>
  <si>
    <t>Intel Core 7 150U</t>
  </si>
  <si>
    <t>Brand: ASUS | Tipe: Vivobook 14 A1404VAP | Color: Silver | Operating System: Windows 11 Home + Microsoft Office Home &amp; Student + Microsoft 365 Basic | Processor: Intel Core 7 150U, 10 Cores (2P + 8E), up to 5.4 GHz | Graphics: Intel Graphics | RAM: 16 GB DDR5 (8GB Onboard + 8GB SO-DIMM) | Storage: 512 GB SSD NVMe PCIe 4.0 | Main Display Size: 14 Inch | Main Display Type: IPS-Level, Anti-glare | Display Resolution: FHD 1920 x 1080, 45% NTSC, 250 nits | Camera: HD 720p Webcam with Privacy Shutter | Audio: SonicMaster Built-in Speaker, Built-in Array Microphone | Battery: 42 Wh Charger: 45 W AC Adapter | Connectivity: Wi-Fi 6E, Bluetooth 5.3 | Ports: 2x USB-A 3.2 Gen 1 1x USB-A 2.0 1x USB-C 3.2 Gen 1 1x HDMI 1.4 1x DC-in 1x Headphone / microphone combo jack | Weight: 1.5 kg | Warranty: Official ASUS Warranty 2 Years + 2 Years ADP</t>
  </si>
  <si>
    <t>https://www.agres.id/products/asus-vivobook-14-a1404vap-core-i7-150u-16gb-512gb-w11ohsm365b-140fhd-vips-silver-vips7156m</t>
  </si>
  <si>
    <t>https://res.cloudinary.com/dbuug9eey/image/upload/v1775878071/products/zb4gqsjmchu1uqfpd5zd.jpg</t>
  </si>
  <si>
    <t>menengah, multitasking, lancar, kinerja cepat, boot cepat, loading cepat, office, kuliah, presentasi</t>
  </si>
  <si>
    <t>asus vivobook 14 a1404vap intel core 7 150u graphics grafis terintegrasi ram 16gb ssd 512gb layar 14.0 inch cpu performa dasar ringan multitasking lancar penyimpanan besar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cepat</t>
  </si>
  <si>
    <t>ASUS VIVOBOOK 14 A1404VAP CORE I7 150U 8GB 512GB W11+OHS+M365B 14.0FHD BLIT VIPS BLU -VIPS7854M</t>
  </si>
  <si>
    <t>12,799,000.00</t>
  </si>
  <si>
    <t>Brand: ASUS | Tipe: ASUS Vivobook 14 A1404VAP | Color: Quite Blue | Operating System: Windows 11 Home + Microsoft Office Home 2024 + Microsoft 365 Basic | Processor: Intel Core 7 150U, 10 Cores, 12 Threads, up to 5.4 GHz, 12MB Cache | Graphics: Intel Graphics | RAM: 8 GB DDR4 (Upgradeable via 1x SO-DIMM Slot) | Storage: 512 GB M.2 NVMe™ PCIe 4.0 SSD | Main Display Size: 14 Inch | Main Display Type: IPS-Level Panel, 250 nits, 60Hz | Display Resolution: FHD 1920 x 1080, 16:9 | Camera: 720p HD Camera with Privacy Shutter | Audio: SonicMaster, Built-in Speaker, Built-in Array Microphone | Battery: 42 Wh, 3-Cell Li-ion Charger: 45 W AC Adapter | Connectivity: Wi-Fi 6 (802.11ax) Dual Band 1x1, Bluetooth 5.2 | Ports: 1x USB 2.0 Type-A 2x USB 3.2 Gen 1 Type-A 1x USB 3.2 Gen 1 Type-C 1x HDMI 1.4 1x 3.5 mm Audio Combo Jack 1x DC-in | Dimension: 32.49 x 21.39 x 1.79 cm | Weight: 1.40 kg | Warranty: Official ASUS International Warranty 2 Years</t>
  </si>
  <si>
    <t>https://www.agres.id/products/asus-vivobook-14-a1404vap-core-i7-150u-8gb-512gb-w11ohsm365b-140fhd-blit-vips-blu-vips7854m</t>
  </si>
  <si>
    <t>https://res.cloudinary.com/dbuug9eey/image/upload/v1774603365/products/ovnzkga8p62bz6ehixap.jpg</t>
  </si>
  <si>
    <t>asus vivobook 14 a1404vap intel core 7 150u graphics grafis terintegrasi ram 8gb ssd 512gb layar 14.0 inch cpu performa dasar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travel tugas cepat</t>
  </si>
  <si>
    <t>ASUS VIVOBOOK 14 FLIP OLED TP3407SA ULTRA 7 256V 16GB 512GB W11+OHS+M365B 14.0 2K TOUCH PEN 2IN1 GRY -OLED7151M</t>
  </si>
  <si>
    <t>ASUS VIVOBOOK 14 FLIP</t>
  </si>
  <si>
    <t>20,149,000.00</t>
  </si>
  <si>
    <t>Intel Core Ultra 7 256V</t>
  </si>
  <si>
    <t>1.57 kg</t>
  </si>
  <si>
    <t>Brand: ASUS | Tipe: Vivobook 14 Flip TP3407SA | Color: Matte Gray | Operating System: Windows 11 Home + Microsoft Office Home 2024 + Microsoft 365 Basic (OneDrive + Outlook) 1 Year | Processor: Intel Core Ultra 7 256V, 8 Cores, 8 Threads, up to 4.8 GHz, Intel AI Boost NPU up to 47 | Graphics: Intel Arc Graphics | RAM: 16 GB LPDDR5X | Storage: 512 GB M.2 NVMe PCIe 4.0 SSD | Main Display Size: 14 Inch | Main Display Type: OLED, Glossy, Touchscreen | Display Resolution: WUXGA 1920 x 1200, 16:10, 60Hz, 400 nits, 100% DCI-P3 | Camera: FHD camera with IR function to support Windows Hello | Audio: Built-in speaker with Smart Amp Technology | Battery: 70 Wh Charger: 65 W USB-C Power Adapter | Ports: 1x USB-A 3.2 Gen 1 1x USB-C 3.2 Gen 2 with display and power delivery 1x Thunderbolt 4 with display and power delivery 1x HDMI 2.1 1x Headphone / microphone combo jack 1x microSD card reader | Dimension: 31.26 x 22.09 x 1.69 ~ 1.71 cm | Weight: 1.57 kg | Warranty: Official ASUS Warranty 2 Years + ASUS Perfect Warranty 1 Year</t>
  </si>
  <si>
    <t>https://www.agres.id/products/asus-vivobook-14-flip-oled-tp3407sa-ultra-7-256v-16gb-512gb-w11ohsm365b-140-2k-touch-pen-2in1-gry--oled7151m</t>
  </si>
  <si>
    <t>https://res.cloudinary.com/dbuug9eey/image/upload/v1773204278/products/jih2e4gv0nbt7oa2tnsf.jpg</t>
  </si>
  <si>
    <t>gaming berat, editing video, render 3d, gaming ringan, esports, sultan, premium, multitasking, lancar, kinerja cepat, boot cepat, loading cepat, office, kuliah, presentasi</t>
  </si>
  <si>
    <t>cpu intel performa tinggi grafis modern multitasking lancar penyimpanan besar sedang layar sedang layar oled resolusi standar cocok kerja cocok multimedia</t>
  </si>
  <si>
    <t>asus vivobook 14 flip intel core ultra 7 256v arc graphics grafis terintegrasi ram 16gb ssd 512gb layar 14.0 inch cpu performa tinggi modern multitasking lancar penyimpanan besar sedang oled resolusi standar cocok kerja multimedia kantor buka banyak tab aplikasi anti lelet coding programming programmer software analis data main game ringan valorant dota genshin impact esports edit video desain canva photoshop corel illustrator konten kreator nonton netflix kualitas bioskop warna akurat manjakan mata desainer tajam gaming berat editing render 3d sultan premium cepat office kuliah presentasi</t>
  </si>
  <si>
    <t>ASUS VIVOBOOK 15 TOUCH A1504VAP CORE 5 120U 16GB 512GB W11+OHS+M365B 15.6FHD IPS VIPS TERRACOTTA -VIPS5152TM</t>
  </si>
  <si>
    <t>ASUS VIVOBOOK 15 TOUCH</t>
  </si>
  <si>
    <t>13,559,000.00</t>
  </si>
  <si>
    <t>1.70 kg</t>
  </si>
  <si>
    <t>Brand: ASUS | Tipe: Vivobook 15 Touch A1504VAP | Color: Terra Cotta | Operating System: Windows 11 Home + Office Home &amp; Student + Microsoft 365 Basic | Processor: Intel Core 5 120U (12 MB Cache, up to 5.0 GHz, 10 Cores, 12 Threads) | Graphics: Intel Graphics | RAM: 16 GB DDR5 (8 GB Onboard + 8 GB SO-DIMM) | Storage: 512 GB M.2 NVMe PCIe 4.0 SSD | Main Display Size: 15.6 Inch | Main Display Type: IPS-level Panel, LED Backlit, Anti-glare, Touchscreen | Display Resolution: FHD 1920 x 1080 | Camera: 720p HD Camera with Privacy Shutter | Audio: SonicMaster Built-in Speaker, Built-in Array Microphone | Battery: 42 Whrs, 3-cell Li-ion Charger: 45 W AC Adapter | Connectivity: Wi-Fi 6 (802.11ax), Bluetooth 5.2 | Ports: 1x USB 2.0 Type-A 1x USB 3.2 Gen 1 Type-C 2x USB 3.2 Gen 1 Type-A 1x HDMI 1.4 1x 3.5 mm Combo Audio Jack 1x DC-in | Warranty: Official 2 Years</t>
  </si>
  <si>
    <t>https://www.agres.id/products/asus-vivobook-15-a1504vap-core-5-120u-16gb-512gb-w11ohsm365b-156fhd-ips-vips-terracotta-vips5152tm</t>
  </si>
  <si>
    <t>https://res.cloudinary.com/dbuug9eey/image/upload/v1775640340/products/xzxdppohxicbwbwjirw9.jpg</t>
  </si>
  <si>
    <t>layar besar, nyaman nonton, multimedia, menengah, multitasking, lancar, kinerja cepat, boot cepat, loading cepat, office, kuliah, presentasi</t>
  </si>
  <si>
    <t>cpu intel performa dasar grafis ringan multitasking lancar penyimpanan besar sedang layar sedang layar bagus resolusi standar cocok kerja cocok office</t>
  </si>
  <si>
    <t>asus vivobook 15 touch intel core 5 120u graphics grafis terintegrasi ram 16gb ssd 512gb layar 15.6 inch cpu performa dasar ringan multitasking lancar penyimpanan besar sedang bagus resolusi standar cocok kerja office nugas skripsi kuliah sekolah pelajar mahasiswa browsing internet zoom meeting nonton film youtube word excel presentasi ppt kantor buka banyak tab aplikasi anti lelet coding programming programmer software analis data nyaman multimedia cepat</t>
  </si>
  <si>
    <t>ASUS VIVOBOOK 16 M1605NAQ RYZEN 5 150 16GB 512GB W11+OHS+M365 16.0WUXGA OLED BLIT BLK -OLED5151M</t>
  </si>
  <si>
    <t>ASUS VIVOBOOK 16 M1605NAQ</t>
  </si>
  <si>
    <t>13,100,000.00</t>
  </si>
  <si>
    <t>AMD Ryzen 5 150</t>
  </si>
  <si>
    <t>1.88 kg</t>
  </si>
  <si>
    <t>Brand: ASUS | Tipe: Vivobook 16 M1605NAQ | Color: Indie Black | Operating System: Windows 11 Home + Office Home 2024 + Microsoft 365 Basic (1 Year) | Processor: AMD Ryzen 5 150, 6 Cores 12 Threads, up to 4.55 GHz | Graphics: AMD Radeon Graphics | RAM: 16 GB DDR5 (8 GB Onboard + 8 GB SO-DIMM, Up to 24 GB) | Storage: 512 GB M.2 NVMe PCIe 4.0 SSD | Main Display Size: 16 Inch | Main Display Type: Anti-glare, 60Hz, 300 nits, 45% NTSC | Display Resolution: WUXGA 1920 x 1200, 16:10 Aspect Ratio | Camera: HD 720p with Privacy Shutter | Audio: Built-in speakers | Battery: 42 Wh Charger: 68 W USB-C Adapter | Connectivity: Wi-Fi 6, Bluetooth 5.4 | Ports: 1x USB 2.0 Type-A 1x USB 3.2 Gen 1 Type-C (Power Delivery) 2x USB 3.2 Gen 1 Type-A 1x HDMI 1.4 | Dimension: 35.87 x 24.95 x 1.99 cm | Weight: 1.88 kg Security: Fingerprint Sensor (Integrated with Touchpad) Keyboard: Backlit Chiclet Keyboard with Num-key | Warranty: Official ASUS Warranty 1 Year</t>
  </si>
  <si>
    <t>https://www.agres.id/products/asus-vivobook-16-m1605naq-ryzen-5-150-16gb-512gb-w11ohsm365-160wuxga-oled-blit-blk-oled5151m</t>
  </si>
  <si>
    <t>https://res.cloudinary.com/dbuug9eey/image/upload/v1775301473/products/ntokg1b5nwo9khco7oze.jpg</t>
  </si>
  <si>
    <t>gaming ringan, esports, layar besar, nyaman nonton, multimedia, menengah, multitasking, lancar, kinerja cepat, boot cepat, loading cepat, office, kuliah, presentasi</t>
  </si>
  <si>
    <t>cpu amd performa menengah grafis menengah multitasking lancar penyimpanan besar sedang layar besar layar oled resolusi standar cocok kerja cocok multimedia</t>
  </si>
  <si>
    <t>asus vivobook 16 m1605naq amd ryzen 5 150 radeon graphics ram 16gb ssd 512gb layar 16.0 inch cpu performa menengah grafis multitasking lancar penyimpanan besar sedang oled resolusi standar cocok kerja multimedia nugas skripsi kuliah sekolah pelajar mahasiswa browsing internet zoom meeting nonton film youtube word excel presentasi ppt kantor buka banyak tab aplikasi anti lelet coding programming programmer software analis data main game ringan valorant dota genshin impact esports edit video desain canva photoshop corel illustrator konten kreator netflix kualitas bioskop warna akurat manjakan mata desainer tajam gaming nyaman cepat office</t>
  </si>
  <si>
    <t>ASUS VIVOBOOK GO 14 E410KA N4500 8GB 256GB W11+OHS+M365B 14.0FHD BLIT BLU -FHD426M</t>
  </si>
  <si>
    <t>ASUS VIVOBOOK GO 14</t>
  </si>
  <si>
    <t>6,399,000.00</t>
  </si>
  <si>
    <t>Intel Celeron N4500</t>
  </si>
  <si>
    <t>Brand: ASUS | Tipe: Vivobook Go 14 E410KA | Color: Peacock Blue | Operating System: Windows 11 Home + Microsoft Office Home &amp; Student + Office 365 Basic | Processor: Intel Celeron N4500 Processor, 2 Cores, Base 1.1 GHz up to 2.8 GHz | Graphics: Intel UHD Graphics | RAM: 8 GB DDR4 Onboard | Storage: 256 GB SSD M.2 NVMe PCIe 3.0 | Main Display Size: 14 Inch | Main Display Type: LED Backlit Anti-Glare | Display Resolution: FHD 1920 x 1080, 200 nits | Camera: 720p HD Camera | Audio: Built-in Speaker by ICPower | Battery: 42 Wh Charger: 33 W AC Adapter | Connectivity: Wi-Fi 5, Bluetooth 5.1 | Ports: 1x USB 2.0 Type-A 1x USB 3.2 Gen 1 Type-A 1x USB 3.2 Gen 1 Type-C 1x HDMI 1.4 1x 3.5 mm Audio Jack | Weight: Around 1.4 kg | Warranty: Official ASUS Warranty 2 Years</t>
  </si>
  <si>
    <t>https://www.agres.id/products/asus-vivobook-go-14-e410ka-n4500-8gb-256gb-w11ohsm365b-140fhd-blit-blu--fhd426m</t>
  </si>
  <si>
    <t>https://res.cloudinary.com/dbuug9eey/image/upload/v1769830627/products/njua0oqa3rpfw6pfbkff.jpg</t>
  </si>
  <si>
    <t>cpu intel performa dasar grafis ringan multitasking cukup penyimpanan cukup ringan layar sedang resolusi standar mudah dibawa cocok office</t>
  </si>
  <si>
    <t>asus vivobook go 14 intel celeron n4500 uhd graphics grafis terintegrasi ram 8gb ssd 256gb layar 14.0 inch cpu performa dasar ringan multitasking cukup penyimpanan sedang resolusi standar mudah dibawa cocok office nugas skripsi kuliah sekolah pelajar mahasiswa browsing internet zoom meeting nonton film youtube word excel presentasi ppt sering bepergian traveling mobilitas tinggi enteng tipis ke kampus nongkrong cafe travel murah tugas cepat</t>
  </si>
  <si>
    <t>ASUS VIVOBOOK GO 14 E410KA N4500 8GB 256GB W11+OHS+M365B 14.0FHD BLK -FHD4821M</t>
  </si>
  <si>
    <t>1.3 kg</t>
  </si>
  <si>
    <t>Brand: ASUS | Tipe: Vivobook Go 14 | Color: Star Black | Operating System: Windows 11 Home + Microsoft Office Home and Student + Microsoft 365 Basic | Processor: Intel Celeron N4500, 2 Cores, up to 2.8 GHz | Graphics: Intel UHD Graphics | RAM: 8 GB DDR4 Onboard | Storage: 256 GB SSD M.2 PCIe 3.0 NVMe | Main Display Size: 14 Inch | Main Display Type: LED Backlit Anti-Glare | Display Resolution: FHD 1920 x 1080 | Camera: 720p HD Webcam | Audio: ICEpower Built-in Speaker and Microphone | Battery: 42 Wh Charger: 33 W AC Adapter | Connectivity: Wi-Fi 5, Bluetooth 5.1 | Ports: 1x USB 2.0 Type-A 1x USB 3.2 Gen 1 Type-C 1x USB 3.2 Gen 1 Type-A 1x HDMI 1.4 1x 3.5 mm Audio Jack | Dimension: | Weight: 1.30 kg | Warranty: Official ASUS Warranty 1 Year</t>
  </si>
  <si>
    <t>https://www.agres.id/products/asus-vivobook-go-e410ka-n4500-8gb-256gb-w11ohsm365b-140fhd-blk--fhd4821m</t>
  </si>
  <si>
    <t>cpu intel performa dasar grafis ringan multitasking cukup penyimpanan cukup ringan layar sedang layar standar resolusi standar mudah dibawa cocok office</t>
  </si>
  <si>
    <t>asus vivobook go 14 intel celeron n4500 uhd graphics grafis terintegrasi ram 8gb ssd 256gb layar 14.0 inch cpu performa dasar ringan multitasking cukup penyimpanan sedang standar resolusi mudah dibawa cocok office nugas skripsi kuliah sekolah pelajar mahasiswa browsing internet zoom meeting nonton film youtube word excel presentasi ppt sering bepergian traveling mobilitas tinggi enteng tipis ke kampus nongkrong cafe travel murah tugas cepat</t>
  </si>
  <si>
    <t>ASUS ZENBOOK 14 OLED TOUCH UX3405CA ULTRA 5 225H 16GB 1TB W11+OHS 14.0 2K EVO BLU -OLED5111TM</t>
  </si>
  <si>
    <t>ASUS ZENBOOK 14 OLED</t>
  </si>
  <si>
    <t>17,999,000.00</t>
  </si>
  <si>
    <t>Intel Core Ultra 5 225H</t>
  </si>
  <si>
    <t>1.28 kg</t>
  </si>
  <si>
    <t>Brand: ASUS | Tipe: ZENBOOK 14 OLED UX3405CA | Color: Ponder Blue | Operating System: Windows 11 Home + Microsoft Office Home 2024 + Microsoft 365 Basic | Processor: Intel Core Ultra 5 225H, 14 Cores 14 Threads, up to 4.9 GHz | Graphics: Intel Arc Graphics | RAM: 16 GB LPDDR5X Onboard | Storage: 1 TB SSD NVMe PCIe 4.0 | Main Display Size: 14 Inch | Main Display Type: OLED Touchscreen, Glossy | Display Resolution: WUXGA 1920 x 1200, 100% DCI P3, HDR True Black 500 | Camera: FHD IR Camera with Privacy Shutter | Audio: Built in Speaker with Smart Amp, Built in Array Microphone | Battery: 75 Wh | Connectivity: Wi-Fi 7, Bluetooth 5.4 | Ports: 1x USB 3.2 Gen 1 Type A 2x Thunderbolt 4 1x HDMI 2.1 1x Audio Jack 3.5 mm | Dimension: | Weight: 1.28 kg | Warranty: Official ASUS Indonesia Warranty 2 Years</t>
  </si>
  <si>
    <t>https://www.agres.id/products/asus-zenbook-14-oled-touch-ux3405ca-ultra-5-225h-16gb-1tb-w11ohs-140-2k-evo-blu--oled5111tm</t>
  </si>
  <si>
    <t>https://res.cloudinary.com/dbuug9eey/image/upload/v1765164441/products/bu1ailxx0jluafodgash.jpg</t>
  </si>
  <si>
    <t>gaming ringan, esports, ringan, tipis, mudah dibawa, travel, menengah, multitasking, lancar, kinerja cepat, boot cepat, loading cepat, office, kuliah, presentasi</t>
  </si>
  <si>
    <t>cpu intel performa menengah grafis modern multitasking lancar penyimpanan sangat besar ringan layar sedang layar oled resolusi standar cocok kerja mudah dibawa cocok multimedia</t>
  </si>
  <si>
    <t>asus zenbook 14 oled intel core ultra 5 225h arc graphics grafis terintegrasi ram 16gb ssd 1tb layar 14.0 inch cpu performa menengah modern multitasking lancar penyimpanan sangat besar ringan sedang resolusi standar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gaming travel cepat office</t>
  </si>
  <si>
    <t>ASUS ZENBOOK 14 OLED TOUCH UX3405CA ULTRA 5 225H 16GB 1TB W11+OHS 14.0 2K EVO SLV -OLED5112TM</t>
  </si>
  <si>
    <t>Brand: ASUS | Tipe: UX3405CA | Color: Foggy Silver | Operating System: Windows 11 Home + Microsoft Office Home 2024 + Microsoft 365 Basic | Processor: Intel Core Ultra 5 225H, 14 Cores 14 Threads, up to 4.9 GHz | Graphics: Intel Arc Graphics | RAM: 16 GB LPDDR5X Onboard Dual Channel | Storage: 1 TB SSD NVMe PCIe 4.0 | Main Display Size: 14 Inch | Main Display Type: OLED, Glossy, Touchscreen, Stylus Support | Display Resolution: WUXGA 1920 x 1200, 100% DCI-P3, HDR True Black 500 | Camera: FHD IR Camera with Privacy Shutter | Audio: Built in speaker with Smart Amp and built in array microphone | Battery: 75 Wh | Connectivity: Wi-Fi 7, Bluetooth 5.4 | Ports: 1x USB-A 3.2 Gen 1 2x Thunderbolt 4 1x HDMI 2.1 TMDS 1x Audio Jack 3.5 mm | Dimension: | Weight: 1.28 kg | Warranty: Official ASUS Indonesia Warranty 2 Years</t>
  </si>
  <si>
    <t>https://www.agres.id/products/asus-zenbook-14-oled-touch-ux3405ca-ultra-5-225h-16gb-1tb-w11ohs-140-2k-evo-slv--oled5112tm</t>
  </si>
  <si>
    <t>https://res.cloudinary.com/dbuug9eey/image/upload/v1765165235/products/c46fynurhksnuxciy6ah.jpg</t>
  </si>
  <si>
    <t>ASUS ZENBOOK 14 OLED TOUCH UX3405CA ULTRA 7 255H 32GB 1TB W11+OHS+M365B 14.0WUXGA BLU -OLED7313TM</t>
  </si>
  <si>
    <t>22,699,000.00</t>
  </si>
  <si>
    <t>Intel Core Ultra 7 255H</t>
  </si>
  <si>
    <t>Brand: ASUS | Tipe: Zenbook 14 OLED Touch UX3405CA | Color: Ponder Blue | Operating System: Windows 11 Home + Office Home &amp; Student + 1 Year Microsoft 365 Basic | Processor: Intel Core Ultra 7 255H (16 Cores / 16 Threads, up to 5.1 GHz) | Graphics: Intel Arc Graphics | RAM: 32 GB LPDDR5X (Onboard) | Storage: 1 TB SSD NVMe | Main Display Size: 14 Inch | Main Display Type: OLED, Touchscreen | Display Resolution: WUXGA 1920 x 1200, 100% DCI-P3, 60Hz | Camera: FHD + IR Webcam with Privacy Shutter | Audio: Smart Amp, Built-in speakers | Battery: 75 Wh Charger: 65 W USB-C | Connectivity: Wi-Fi 7, Bluetooth 5.4 | Ports: 1x USB 3.2 Gen 1 Type-A 2x Thunderbolt 4 (PD, Display Support) 1x HDMI 2.1 1x Headphone / microphone combo jack | Warranty: Official Asus Warranty 3 Years</t>
  </si>
  <si>
    <t>https://www.agres.id/products/asus-zenbook-14-oled-touch-ux3405ca-ultra-7-255h-32gb-1tb-w11ohsm365b-140wuxga-blu-oled7313tm</t>
  </si>
  <si>
    <t>https://res.cloudinary.com/dbuug9eey/image/upload/v1775451342/products/k2gj526wtizsjg5vhaop.jpg</t>
  </si>
  <si>
    <t>gaming berat, editing video, render 3d, sultan, premium, multitasking, lancar, kinerja cepat, boot cepat, loading cepat, office, kuliah, presentasi</t>
  </si>
  <si>
    <t>cpu intel performa tinggi grafis modern multitasking ekstrem penyimpanan sangat besar ringan layar sedang layar oled resolusi standar mudah dibawa cocok multimedia</t>
  </si>
  <si>
    <t>asus zenbook 14 oled intel core ultra 7 255h arc graphics grafis terintegrasi ram 32gb ssd 1tb layar 14.0 inch cpu performa tinggi modern multitasking ekstrem penyimpanan sangat besar ringan sedang resolusi standar mudah dibawa cocok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sultan premium lancar cepat office kuliah presentasi</t>
  </si>
  <si>
    <t>ASUS ZENBOOK 14 OLED UM3406GA RYZEN AI 7 445 16GB 1TB W11+OHS+M365B 14.0WUXGA 120HZ BLIT BLK -OLED7111M</t>
  </si>
  <si>
    <t>19,579,000.00</t>
  </si>
  <si>
    <t>AMD Ryzen AI 7 445</t>
  </si>
  <si>
    <t>1.2 kg</t>
  </si>
  <si>
    <t>Brand: ASUS | Tipe: ZENBOOK 14 OLED UM3406GA | Color: Jade Black | Operating System: Windows 11 Home + Microsoft Office Home 2024 + Microsoft 365 Basic | Processor: AMD Ryzen AI 7 445 Processor, 6 Cores / 12 Threads, up to 4.6 GHz, AMD XDNA™ NPU up to 50 TOPS | Graphics: AMD Radeon Graphics | RAM: 16 GB LPDDR5X (Onboard) | Storage: 1 TB SSD NVMe PCIe 4.0 | Main Display Size: 14 Inch | Main Display Type: OLED, Glossy, 16:10 | Display Resolution: WUXGA 1920 x 1200, 100% DCI-P3, HDR True Black 600 | Camera: FHD IR Camera with Windows Hello and Privacy Shutter | Audio: Built-in stereo speakers with Smart Amp Technology | Battery: 75 Wh | Connectivity: Wi-Fi 6E, Bluetooth 5.4 | Ports: 1x USB 3.2 Gen 1 Type A 1x USB 4.0 Gen 3 Type C with Display and Power Delivery 1x USB 3.2 Gen 2 Type C with Display and Power Delivery 1x HDMI 2.1 TMDS 1x Headphone / microphone combo jack | Dimension: | Weight: 1.20 kg | Warranty: Official ASUS Warranty 2 Years</t>
  </si>
  <si>
    <t>https://www.agres.id/products/asus-zenbook-14-oled-um3406ga-ryzen-ai-7-445-16gb-1tb-w11ohsm365b-140wuxga-120hz-blit-blk-oled7111m</t>
  </si>
  <si>
    <t>https://res.cloudinary.com/dbuug9eey/image/upload/v1770006764/products/vqnteo1x6wfmxdenrwkg.jpg</t>
  </si>
  <si>
    <t>cpu amd performa dasar ai ready grafis menengah multitasking lancar penyimpanan sangat besar ultra ringan layar sedang layar oled resolusi standar cocok kerja mudah dibawa cocok multimedia</t>
  </si>
  <si>
    <t>asus zenbook 14 oled amd ryzen ai 7 445 radeon graphics ram 16gb ssd 1tb layar 14.0 inch cpu performa dasar ready grafis menengah multitasking lancar penyimpanan sangat besar ultra ringan sedang resolusi standar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travel cepat office</t>
  </si>
  <si>
    <t>ASUS ZENBOOK 14 OLED UM3406KA RYZEN AI 7 350 32GB 1TB W11+OHS 14.0 BLK -OLEDS7311M</t>
  </si>
  <si>
    <t>20,999,000.00</t>
  </si>
  <si>
    <t>Brand: ASUS | Tipe: ZENBOOK 14 OLED UM3406KA | Color: Jade Black | Operating System: Windows 11 Home + Microsoft Office Home Student | Processor: AMD Ryzen AI 7 350, 8 Cores 16 Threads, up to 5.0 GHz | Graphics: AMD Radeon Graphics | RAM: 32 GB LPDDR5X | Storage: 1 TB SSD M.2 PCIe 4.0 NVMe | Main Display Size: 14 Inch | Main Display Type: OLED, 16:10, 60Hz, HDR True Black 600 | Display Resolution: WUXGA 1920 x 1200 Keyboard: Backlit Chiclet Keyboard with Copilot Key | Camera: FHD IR Camera Windows Hello with Privacy Shutter | Audio: Stereo Speaker with Smart Amp Technology | Battery: 75 Wh Charger: USB Type C 65W | Connectivity: Wi-Fi 6E, Bluetooth 5.3 | Ports: 1x USB 3.2 Gen 1 Type A 1x USB 3.2 Gen 2 Type C support display and power delivery 1x USB 4.0 Gen 3 Type C support display and power delivery 1x HDMI 2.1 1x Audio Jack Material: US MIL STD 810H Military Grade | Warranty: Official ASUS Indonesia Warranty 2 Years</t>
  </si>
  <si>
    <t>https://www.agres.id/products/asus-zenbook-14-oled-um3406ka-ryzen-ai-7-350-32gb-1tb-w11ohs-140-blk--oleds7311m</t>
  </si>
  <si>
    <t>https://res.cloudinary.com/dbuug9eey/image/upload/v1765793321/products/p92esf39b66hlx6669oa.jpg</t>
  </si>
  <si>
    <t>gaming ringan, esports, sultan, premium, multitasking, lancar, kinerja cepat, boot cepat, loading cepat, office, kuliah, presentasi</t>
  </si>
  <si>
    <t>cpu amd performa dasar ai ready grafis menengah multitasking ekstrem penyimpanan sangat besar ultra ringan layar sedang layar oled resolusi standar mudah dibawa cocok multimedia</t>
  </si>
  <si>
    <t>asus zenbook 14 oled amd ryzen ai 7 350 radeon graphics ram 32gb ssd 1tb layar 14.0 inch cpu performa dasar ready grafis menengah multitasking ekstrem penyimpanan sangat besar ultra ringan sedang resolusi standar mudah dibawa cocok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gaming sultan premium lancar cepat office</t>
  </si>
  <si>
    <t>ASUS ZENBOOK DUO UX8406CA OLED TOUCH ULTRA 9 285H 32GB 1TB W11+OHS DUAL 14.0 2.8K+FHD 120HZ PEN GRY -OLED9311TM</t>
  </si>
  <si>
    <t>ASUS ZENBOOK DUO UX8406CA</t>
  </si>
  <si>
    <t>40,099,000.00</t>
  </si>
  <si>
    <t>Intel Core Ultra 9 285H</t>
  </si>
  <si>
    <t>1.65 kg</t>
  </si>
  <si>
    <t>Brand: Asus | Tipe: ZENBOOK DUO UX8406CA | Color: Black | Operating System: Windows 11 Home + Microsoft Office Home 2024 | Processor: Intel Core Ultra 9 285H, 16 Cores, 16 Threads, up to 5.4 GHz with Intel AI Boost NPU up to 13 TOPs | Graphics: Intel Arc Graphics | RAM: 32 GB LPDDR5X | Storage: 1 TB M.2 NVMe PCIe 4.0 SSD | Main Display Size: 14 Inch | Main Display Type: OLED, Glossy, Touchscreen, Stylus Support | Display Resolution: 2.8K 2880 x 1800, 16:10, 120 Hz, 100% DCI-P3 | Camera: FHD IR Camera | Audio: Built-in speakers with Smart Amp Technology and Array Microphone | Battery: 75 Wh Charger: 65 W USB Type-C Adapter | Connectivity: Wi-Fi 7, Bluetooth 5.4 | Ports: 1x USB 3.2 Gen 1 Type-A 2x Thunderbolt 4 1x HDMI 2.1 1x 3.5mm Audio Combo Jack | Dimension: 31.35 x 21.79 x 1.46 ~ 1.99 cm | Weight: 1.65 kg | Warranty: Official Asus Warranty</t>
  </si>
  <si>
    <t>https://www.agres.id/products/asus-zenbook-duo-ux8406ca-oled-touch-ultra-9-285h-32gb-1tb-w11ohs-dual-140-2.8Kfhd-120hz-pen-gry-oled9311tm</t>
  </si>
  <si>
    <t>https://res.cloudinary.com/dbuug9eey/image/upload/v1772536646/products/j5a69bki1umhg8ryqk30.jpg</t>
  </si>
  <si>
    <t>cpu intel performa sangat tinggi grafis modern multitasking ekstrem penyimpanan sangat besar sedang layar sedang layar oled resolusi tinggi cocok multimedia</t>
  </si>
  <si>
    <t>asus zenbook duo ux8406ca intel core ultra 9 285h arc graphics grafis terintegrasi ram 32gb ssd 1tb layar 14.0 inch cpu performa sangat tinggi modern multitasking ekstrem penyimpanan besar sedang oled resolusi cocok multimedia kantor buka banyak tab aplikasi anti lelet coding programming programmer software analis data main game ringan valorant dota genshin impact esports edit video desain canva photoshop corel illustrator konten kreator nonton netflix kualitas bioskop warna akurat manjakan mata desainer tajam gaming berat editing render 3d sultan premium mulus cepat lancar office kuliah presentasi</t>
  </si>
  <si>
    <t>ASUS ZENBOOK S14 OLED 2.8K TOUCH UX5406SA ULTRA 7 258V 32GB 1TB W11+OHS+M365B 14.0 2.8K 120HZ SLV -OLEDS7312TM</t>
  </si>
  <si>
    <t>ASUS ZENBOOK S14 OLED</t>
  </si>
  <si>
    <t>28,499,000.00</t>
  </si>
  <si>
    <t>Intel Core Ultra 7 258V</t>
  </si>
  <si>
    <t>Brand: ASUS | Tipe: Zenbook S14 UX5406SA | Color: White | Operating System: Windows 11 Home + Microsoft Office Home &amp; Student + Microsoft 365 Basic | Processor: Intel Core Ultra 7 258V, up to 4.8 GHz, 8 Cores, 8 Threads | Graphics: Intel Arc Graphics | RAM: 32 GB LPDDR5X | Storage: 1 TB SSD NVMe PCIe 4.0 | Main Display Size: 14 Inch | Main Display Type: OLED, Touchscreen, 120Hz, 16:10, 400 nits, 100% DCI-P3, HDR | Display Resolution: 2.8K 2880 x 1800 | Camera: FHD IR Webcam (Windows Hello) | Audio: Smart Amp Technology, Built-in Speaker, Built-in Array Microphone | Battery: 72 Wh Charger: 65 W USB Type-C | Connectivity: Wi-Fi 7, Bluetooth 5.4 | Ports: 1x USB 3.2 Gen 2 Type-A 2x Thunderbolt 4 (Display / Power Delivery) 1x HDMI 2.1 1x 3.5 mm Audio Combo Jack | Dimension: 31.03 x 21.47 x 1.19 ~ 1.29 cm | Weight: 1.2 kg | Warranty: Official ASUS Warranty 1 Year</t>
  </si>
  <si>
    <t>https://www.agres.id/products/asus-zenbook-s14-oled-2.8K-touch-ux5406sa-ultra-7-258v-32gb-1tb-w11ohsm365b-140-2.8K-120hz-slv--oleds7312tm</t>
  </si>
  <si>
    <t>https://res.cloudinary.com/dbuug9eey/image/upload/v1775025218/products/bst7mghicvolr6wgiiza.jpg</t>
  </si>
  <si>
    <t>gaming berat, editing video, render 3d, ringan, tipis, mudah dibawa, travel, sultan, premium, layar mulus, gaming cepat, multitasking, lancar, kinerja cepat, boot cepat, loading cepat, office, kuliah, presentasi</t>
  </si>
  <si>
    <t>cpu intel performa tinggi grafis modern multitasking ekstrem penyimpanan sangat besar ultra ringan layar sedang layar oled resolusi tinggi mudah dibawa cocok multimedia</t>
  </si>
  <si>
    <t>asus zenbook s14 oled intel core ultra 7 258v arc graphics grafis terintegrasi ram 32gb ssd 1tb layar 14.0 inch cpu performa tinggi modern multitasking ekstrem penyimpanan sangat besar ringan sedang resolusi mudah dibawa cocok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travel sultan premium mulus cepat lancar office kuliah presentasi</t>
  </si>
  <si>
    <t>AXIOO HYPE 5 AMD X6 RYZEN 5 6600H 16GB 512GB W11 14.0FHD IPS BLIT GRY</t>
  </si>
  <si>
    <t>AXIOO HYPE 5 AMD</t>
  </si>
  <si>
    <t>Axioo</t>
  </si>
  <si>
    <t>9,749,000.00</t>
  </si>
  <si>
    <t>AMD Radeon 660M</t>
  </si>
  <si>
    <t>AMD Ryzen 5 6600H</t>
  </si>
  <si>
    <t>1.34 kg</t>
  </si>
  <si>
    <t>Brand: Axioo | Tipe: HYPE 5 AMD X6 | Color: Grey | Operating System: Windows 11 | Processor: AMD Ryzen 5 6600H, 6 Cores, 12 Threads, 3.3 GHz Base, 4.5 GHz Turbo, 45W | Graphics: AMD Radeon 660M | RAM: 16 GB DDR5 (Upgradeable up to 64 GB, 2x8GB) | Storage: 512 GB M.2 2280 PCIe SSD Gen 3x4 (Upgradeable up to 2TB Gen 4) | Main Display Size: 14 Inch | Main Display Type: IPS Panel | Display Resolution: WUXGA 1920 x 1200 | Camera: 21MP Webcam with Privacy Shutter | Audio: HD Audio, Built-in Microphone | Battery: 58 Wh / 5050 mAh Charger: 100 W PD Charger | Connectivity: Wi-Fi 6 Mediatek MT7921, Bluetooth 5.2 | Ports: 2x USB 3.0 Type-A 1x USB 2.0 1x USB 3.2 Gen 1 Type-C Full Function 1x USB 3.2 Gen 2 Type-C Full Function 1x HDMI 1.4 1x 3.5mm Audio Combo Jack | Dimension: 311.6 x 217.8 x 17.3 mm | Weight: 1.34 kg | Warranty: Official Axioo Warranty 1 Year</t>
  </si>
  <si>
    <t>https://www.agres.id/products/axioo-hype-5-amd-x6-ryzen-5-6600h-16gb-512gb-w11-140fhd-ips-blit-hdmi-gry</t>
  </si>
  <si>
    <t>https://res.cloudinary.com/dbuug9eey/image/upload/v1765952829/products/aunqub13frbczanzy01a.jpg</t>
  </si>
  <si>
    <t>ringan, tipis, mudah dibawa, travel, murah, terjangkau, multitasking, lancar, kinerja cepat, boot cepat, loading cepat</t>
  </si>
  <si>
    <t>axioo hype 5 amd ryzen 6600h radeon 660m ram 16gb ssd 512gb layar 14.0 inch cpu performa menengah grafis multitasking lancar penyimpanan besar ringan sedang bagus resolusi standar cocok kerja mudah dibawa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travel murah cepat</t>
  </si>
  <si>
    <t>AXIOO HYPE 7 AMD X7 RYZEN 7 5700 8GB 512GB W11 14.0FHD IPS BLIT GRY</t>
  </si>
  <si>
    <t>AXIOO HYPE 7 AMD</t>
  </si>
  <si>
    <t>8,149,000.00</t>
  </si>
  <si>
    <t>AMD Radeon RX Vega 8</t>
  </si>
  <si>
    <t>AMD Ryzen 7-5700U</t>
  </si>
  <si>
    <t>1.41 kg</t>
  </si>
  <si>
    <t>Brand: Axioo | Tipe: HYPE 7 | Color: Grey | Operating System: Windows 11 Home | Processor: AMD Ryzen 7-5700U, 8 Cores, 16 Threads, up to 4.3 GHz | Graphics: AMD Radeon RX Vega 8 | RAM: 8 GB DDR4 (Upgradeable up to 64 GB, 2x SODIMM, up to 3200 MHz) | Storage: 512 GB M.2 NVMe PCIe Gen 3 x4 | Main Display Size: 14 Inch | Main Display Type: IPS LCD, LED Backlight, Anti-glare | Display Resolution: FHD 1920 x 1080, 45% NTSC, 250 nits | Camera: 2 MP Front Camera | Audio: Dual built-in speakers with HD Audio | Battery: 45.6 Wh Charger: 65 W AC Adapter | Connectivity: Wi-Fi 802.11 ac/b/g/n, Bluetooth 5.1 | Ports: 2x USB 3.2 Gen1 Type-A 1x USB 2.0 1x USB Type-C 1x HDMI 1.4 1x 3.5mm Audio Combo Jack 1x DC-in | Dimension: 322 x 206 x 19.4 mm | Weight: 1.41 kg | Warranty: Official Axioo Warranty 1 Year</t>
  </si>
  <si>
    <t>https://www.agres.id/products/axioo-hype-7-ryzen-7-5700-8gb-512gb-w11pro-140fhd-gry</t>
  </si>
  <si>
    <t>https://res.cloudinary.com/dbuug9eey/image/upload/v1772532605/products/bivaustcljqozkibkrz6.jpg</t>
  </si>
  <si>
    <t>ringan, tipis, mudah dibawa, travel, murah, terjangkau, tugas ringan, office dasar</t>
  </si>
  <si>
    <t>cpu amd performa tinggi grafis menengah multitasking cukup penyimpanan besar ringan layar sedang layar bagus resolusi standar mudah dibawa</t>
  </si>
  <si>
    <t>axioo hype 7 amd ryzen 5700u radeon rx vega 8 ram 8gb ssd 512gb layar 14.0 inch cpu performa tinggi grafis menengah multitasking cukup penyimpanan besar ringan sedang bagus resolusi standar mudah dibawa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travel murah tugas office dasar</t>
  </si>
  <si>
    <t>AXIOO HYPE 7 AMD X8-1 RYZEN 7 6800H 16GB 512GB W11 14.0FHD IPS BLIT GRY</t>
  </si>
  <si>
    <t>10,049,000.00</t>
  </si>
  <si>
    <t>AMD Radeon 680M</t>
  </si>
  <si>
    <t>AMD Ryzen 7 6800H</t>
  </si>
  <si>
    <t>1.46 kg</t>
  </si>
  <si>
    <t>Brand: AXIOO | Tipe: HYPE 7 | Color: Grey | Operating System: Windows 11 | Processor: AMD Ryzen 7 6800H, 8 Cores, 16 Threads, up to 4.7 GHz | Graphics: AMD Radeon 680M | RAM: 16 GB DDR5 (2x 8 GB, Up to 64 GB) | Storage: 512 GB M.2 2280 PCIe SSD Gen 3x4 (Up to 2 TB PCIe Gen 4) | Main Display Size: 14 Inch | Main Display Type: IPS | Display Resolution: WUXGA 1920 x 1200, Aspect Ratio 16:10 | Ports: 2x USB 3.0 Type A 1x USB 2.0 1x USB 3.2 Gen1 Type C (Data, Power, Video) 1x USB 3.2 Gen2 Type C (Data, Power, Video) 1x HDMI 1.4 1x 3.5 mm Audio Combo Jack | Warranty: Official AXIOO Warranty 1 Year</t>
  </si>
  <si>
    <t>https://www.agres.id/products/axioo-hype-7-amd-x8-1-ryzen-7-6800h-16gb-512gb-w11-140fhd-ips-blit-hdmi-gry</t>
  </si>
  <si>
    <t>https://res.cloudinary.com/dbuug9eey/image/upload/v1769394050/products/eq915j5jdau4dc9c2xta.jpg</t>
  </si>
  <si>
    <t>gaming berat, editing video, render 3d, menengah, multitasking, lancar, kinerja cepat, boot cepat, loading cepat</t>
  </si>
  <si>
    <t>cpu amd performa tinggi grafis menengah multitasking lancar penyimpanan sangat besar ringan layar sedang layar bagus resolusi standar cocok kerja mudah dibawa</t>
  </si>
  <si>
    <t>axioo hype 7 amd ryzen 6800h radeon 680m ram 16gb ssd 512gb layar 14.0 inch cpu performa tinggi grafis menengah multitasking lancar penyimpanan besar ringan sedang bagus resolusi standar cocok kerja mudah dibawa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gaming berat editing render 3d cepat</t>
  </si>
  <si>
    <t>AXIOO HYPE-R 5 TOUCH I5 1235 24GB 512GB W11 14.0FHD IPS GRY (1KG)</t>
  </si>
  <si>
    <t>AXIOO HYPE-R 5 TOUCH</t>
  </si>
  <si>
    <t>10,799,000.00</t>
  </si>
  <si>
    <t>Intel Core i5-1235U</t>
  </si>
  <si>
    <t>24 GB</t>
  </si>
  <si>
    <t>1 kg</t>
  </si>
  <si>
    <t>Brand: Axioo | Tipe: HYPE-R 5 TOUCH | Color: Grey | Operating System: Windows 11 | Processor: Intel Core i5-1235U, 10 Cores (2P + 8E) / 12 Threads, up to 4.4 GHz | Graphics: Intel Iris Xe Graphics (eligible) | RAM: 24 GB LPDDR5 (Onboard) | Storage: 512 GB SSD M.2 2280 NVMe (support up to Gen 4x4) | Main Display Size: 14 Inch | Main Display Type: IPS, Touchscreen (10-point multi-touch), 16:10 | Display Resolution: WUXGA 1920 x 1200 | Camera: 720p HD Webcam | Audio: 2x Speaker 2W, Integrated Microphone | Battery: 60.01 Wh Li-Polymer Charger: 65W PD 3.0 Adapter | Connectivity: Wi-Fi 6, Bluetooth 5.2 | Ports: 1x USB 3.2 Gen1 Type-C (Data, Display, Charge) 1x USB 3.2 Gen1 Type-C (Charging Only) 1x USB 3.2 Gen1 Type-A 1x USB 2.0 Type-C 1x HDMI 1.4 1x 3.5mm Audio Combo Jack | Dimension: 311.6 x 217.8 x 15.95 mm | Weight: 1 Kg | Warranty: Garansi Resmi Axioo 1 Tahun</t>
  </si>
  <si>
    <t>https://www.agres.id/products/axioo-hype-r-5-touch-i5-1235-24gb-512gb-w11-140fhd-ips-gry-1kg</t>
  </si>
  <si>
    <t>https://res.cloudinary.com/dbuug9eey/image/upload/v1775797740/products/yvgqaeikwt2frp40bl3k.jpg</t>
  </si>
  <si>
    <t>ringan, tipis, mudah dibawa, travel, menengah, multitasking, lancar, kinerja cepat, boot cepat, loading cepat</t>
  </si>
  <si>
    <t>cpu intel performa menengah grafis ringan multitasking lancar penyimpanan besar ultra ringan layar sedang layar bagus resolusi standar cocok kerja mudah dibawa cocok office</t>
  </si>
  <si>
    <t>axioo hype r 5 touch intel core i5 1235u iris xe graphics grafis terintegrasi ram 24gb ssd 512gb layar 14.0 inch cpu performa menengah ringan multitasking lancar penyimpanan besar ultra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travel cepat</t>
  </si>
  <si>
    <t>AXIOO PONGO 725 V2 I7 13620H RTX2050 4GB/ 16GB 512GB W11 15.6FHD 144HZ IPS 3Y BLK</t>
  </si>
  <si>
    <t>AXIOO PONGO 725 V2</t>
  </si>
  <si>
    <t>13,849,000.00</t>
  </si>
  <si>
    <t>NVIDIA GeForce RTX 2050</t>
  </si>
  <si>
    <t>Intel Core i7 13620H</t>
  </si>
  <si>
    <t>2.15 kg</t>
  </si>
  <si>
    <t>FHD</t>
  </si>
  <si>
    <t>Brand: AXIOO | Tipe: PONGO 725 V2 | Color: Black | Operating System: Windows 11 | Processor: Intel Core i7 13620H, 10 Cores, 16 Threads, Up to 4.7 GHz | Graphics: Intel Graphics + NVIDIA GeForce RTX 2050 Laptop GPU 4 GB GDDR6 | RAM: 16 GB DDR4 | Storage: 512 GB M.2 2280 PCIe Gen 3 SSD | Main Display Size: 15.6 Inch | Main Display Type: FHD | Display Resolution: 1920 x 1080 Aspect Ratio: 16:9 | Camera: - | Audio: Built-in Speaker, Built-in Microphone | Connectivity: Wi-Fi, Bluetooth | Ports: 1x USB 2.0 Type-A 1x USB 3.2 Gen 1 Type-A 2x USB 3.2 Gen 2 Type-C 1x Mini DisplayPort 1.4 1x HDMI 1.4b 1x 2-in-1 Audio Jack 1x Microphone Jack 1x RJ45 Gigabit LAN 1x DC In 1x MicroSD Card Reader | Dimension: – | Weight: – | Warranty: 1 Years Official Axioo Warranty</t>
  </si>
  <si>
    <t>https://www.agres.id/products/axioo-pongo-725-v2-i7-13620h-rtx2050-4gb-16gb-512gb-w11-156fhd-144hz-ips-3y-blk-1</t>
  </si>
  <si>
    <t>https://res.cloudinary.com/dbuug9eey/image/upload/v1773288068/products/hsk8cauwgvip4asswpff.jpg</t>
  </si>
  <si>
    <t>gaming berat, editing video, render 3d, layar besar, nyaman nonton, multimedia, menengah, multitasking, lancar, kinerja cepat, boot cepat, loading cepat</t>
  </si>
  <si>
    <t>cpu intel performa tinggi gaming berat multitasking lancar penyimpanan besar berat layar sedang resolusi standar cocok gaming cocok kerja</t>
  </si>
  <si>
    <t>axioo pongo 725 v2 intel core i7 13620h nvidia geforce rtx 2050 ram 16gb ssd 512gb layar 15.6 inch cpu performa tinggi gaming berat multitasking lancar penyimpanan besar sedang resolusi standar cocok kerja kantor buka banyak tab aplikasi anti lelet coding programming programmer software analis data gamer rata kanan gta cyberpunk render 3d autocad blender sketchup video editor profesional premiere pro after effects editing nyaman nonton multimedia cepat</t>
  </si>
  <si>
    <t>AXIOO PONGO 775 I7 13620H RTX5070 8GB/ 16GB 512GB W11 16.0QHD 180HZ 100SRGB RGB 3Y BLK</t>
  </si>
  <si>
    <t>AXIOO PONGO 775 I7</t>
  </si>
  <si>
    <t>24,699,000.00</t>
  </si>
  <si>
    <t>NVIDIA GeForce RTX 5070</t>
  </si>
  <si>
    <t>Intel Core i7-13620H</t>
  </si>
  <si>
    <t>2.35 kg</t>
  </si>
  <si>
    <t>Brand: AXIOO | Tipe: PONGO 775 | Color: Black | Operating System: Windows 11 | Processor: Intel Core i7-13620H, 10 Cores, 16 Threads, up to 4.9 GHz | Graphics: NVIDIA GeForce RTX 5070 Laptop GPU 8GB GDDR7 up to 115W + Intel Graphics | RAM: 16 GB DDR5 5600 MHz SODIMM | Storage: 512 GB SSD M.2 PCIe 4.0 NVMe | Main Display Size: 16 Inch | Main Display Type: IPS | Display Resolution: WQXGA 2560 x 1600 Aspect Ratio: 16:10 Refresh Rate: 180 Hz | Camera: – | Audio: Sound Blaster Studio Plus with Realtek HD Audio | Battery: – Charger: DC-In Adapter | Connectivity: Wi-Fi 6 (Intel AX211), Bluetooth 5.3 | Ports: 1x USB 2.0 1x USB 3.2 Gen 2 Type-A 1x USB 3.2 Gen 1 Type-A 1x USB 3.2 Gen 2 Type-C (DisplayPort) 1x Mini DisplayPort 1.4 1x HDMI 1.4b 1x Audio Jack 1x Ethernet RJ-45 1x DC-In | Dimension: – | Weight: 2.35 kg | Warranty: Official Axioo Warranty 3 Years</t>
  </si>
  <si>
    <t>https://www.agres.id/products/axioo-pongo-775-i7-13620h-rtx5070-8gb-16gb-512gb-w11-160qhd-180hz-100srgb-rgb-3y-blk</t>
  </si>
  <si>
    <t>https://res.cloudinary.com/dbuug9eey/image/upload/v1765791694/products/yqq8s3yb1wxi9ksacp9v.jpg</t>
  </si>
  <si>
    <t>gaming berat, editing video, render 3d, layar besar, nyaman nonton, multimedia, sultan, premium, layar mulus, gaming cepat, multitasking, lancar, kinerja cepat, boot cepat, loading cepat</t>
  </si>
  <si>
    <t>cpu intel performa tinggi gaming berat gaming extreme multitasking lancar penyimpanan besar berat layar besar layar bagus resolusi tinggi cocok gaming cocok kerja cocok multimedia</t>
  </si>
  <si>
    <t>axioo pongo 775 i7 intel core 13620h nvidia geforce rtx 5070 ram 16gb ssd 512gb layar 16.0 inch cpu performa tinggi gaming berat extreme multitasking lancar penyimpanan besar bagus resolusi cocok kerja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premium mulus cepat</t>
  </si>
  <si>
    <t>DELL PRO 14 ESSENTIAL PV14255 RYZEN 5 220 8GB 512GB 14.0WUXGA W11PRO 2/2/2 BLK</t>
  </si>
  <si>
    <t>DELL PRO 14 ESSENTIAL</t>
  </si>
  <si>
    <t>Dell</t>
  </si>
  <si>
    <t>9,999,000.00</t>
  </si>
  <si>
    <t>AMD Ryzen 5 220</t>
  </si>
  <si>
    <t>1.54 kg</t>
  </si>
  <si>
    <t>Brand: Dell | Tipe: Pro Essential PV14255 | Color: Carbon Black | Operating System: Windows 11 Pro | Processor: AMD Ryzen 5 220, 6 Cores, up to 4.9 GHz | Graphics: AMD Radeon Graphics | RAM: 8 GB DDR5 5600 MHz (Upgradeable) | Storage: 512 GB SSD NVMe PCIe | Main Display Size: 14 Inch | Main Display Type: IPS, Anti-Glare | Display Resolution: WUXGA 1920 x 1200 | Camera: HD 720p Webcam | Audio: Stereo speakers with Dolby Atmos | Battery: 41 Wh | Connectivity: Wi-Fi 6, Bluetooth | Ports: 2x USB-A 1x USB-C 1x HDMI 1.4 1x Headphone / microphone combo jack 1x SD card reader | Dimension: 314 x 226.15 x 19.9 mm | Weight: 1.54 kg | Warranty: Official Dell Warranty 1 Year Onsite Service</t>
  </si>
  <si>
    <t>https://www.agres.id/products/dell-pro-14-essential-pv14255-ryzen-5-220-8gb-512gb-140-wuxga-w11pro-2y-black</t>
  </si>
  <si>
    <t>https://res.cloudinary.com/dbuug9eey/image/upload/v1771644141/products/xw0qa3j1l0ti0eyj52bc.jpg</t>
  </si>
  <si>
    <t>dell pro 14 essential amd ryzen 5 220 radeon graphics ram 8gb ssd 512gb layar 14.0 inch cpu performa menengah grafis multitasking cukup penyimpanan besar sedang bagus resolusi standar nugas skripsi kuliah sekolah pelajar mahasiswa browsing internet zoom meeting nonton film youtube word excel presentasi ppt main game ringan valorant dota genshin impact esports edit video desain canva photoshop corel illustrator konten kreator murah tugas office dasar cepat</t>
  </si>
  <si>
    <t>HP 14 I3 1315 8GB 512GB W11+OHS+M365B 14.0FHD BLIT COPILOT 2Y GLD -EP0260TU</t>
  </si>
  <si>
    <t>HP 14 I3 1315</t>
  </si>
  <si>
    <t>HP</t>
  </si>
  <si>
    <t>8,299,000.00</t>
  </si>
  <si>
    <t>Brand: HP | Tipe: HP 14 | Color: Warm Gold | Operating System: Windows 11 Home SL + Microsoft Office Home + Microsoft 365 Basic | Processor: Intel Core i3-1315U, 6 Cores / 8 Threads, up to 4.5 GHz | Graphics: Intel UHD Graphics | RAM: 8 GB DDR4 3200 MHz (1x8 GB) | Storage: 512 GB SSD PCIe NVMe M.2 | Main Display Size: 14 Inch | Main Display Type: Anti-Glare | Display Resolution: FHD 1920 x 1080, 250 nits | Camera: HP True Vision 1080p FHD Camera | Audio: Two built-in stereo speakers | Battery: 41 Wh | Connectivity: Wi-Fi 6, Bluetooth 5.4 | Ports: 2x USB-A 5Gbps 1x USB-C 5Gbps 1x HDMI 1.4b 1x Headphone / microphone combo jack 1x AC Smart Pin | Dimension: | Weight: 1.41 kg | Warranty: Official HP Warranty 2 Years</t>
  </si>
  <si>
    <t>https://www.agres.id/products/hp-14-i3-1315-8gb-512gb-w11ohsm365b-140fhd-blit-copilot-2y-gld-ep0260tu</t>
  </si>
  <si>
    <t>https://res.cloudinary.com/dbuug9eey/image/upload/v1765173405/products/jbdhsltgqkpfs2pwtb72.jpg</t>
  </si>
  <si>
    <t>hp 14 i3 1315 intel core 1315u uhd graphics grafis terintegrasi ram 8gb ssd 512gb layar 14.0 inch cpu performa dasar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travel murah tugas cepat</t>
  </si>
  <si>
    <t>HP ENVY X360 14 OLED RYZEN 7 8840HS 32GB 1TB W11+OHS 14.0 2.8K 120HZ BLIT PEN 2Y+2ADP 2IN1 SLV -FA0888AU</t>
  </si>
  <si>
    <t>HP ENVY X360 14</t>
  </si>
  <si>
    <t>18,999,000.00</t>
  </si>
  <si>
    <t>AMD Ryzen 7 8840HS</t>
  </si>
  <si>
    <t>Brand: HP | Tipe: Envy x360 | Color: Natural Silver | Operating System: Windows 11 Home + Microsoft Office Home &amp; Student | Processor: AMD Ryzen 7 8840HS, 8 Cores, up to 5.1 GHz | Graphics: AMD Radeon Graphics | RAM: 32 GB LPDDR5-6400 Onboard | Storage: 1 TB SSD NVMe PCIe Gen4 | Main Display Size: 14 Inch | Main Display Type: OLED Multitouch, Edge-to-edge Glass, UWVA, Low Blue Light | Display Resolution: 2.8K 2880 x 1800, 100% DCI-P3, SDR 400 nits, HDR 500 nits | Camera: 5 MP IR Camera | Audio: Poly Studio Dual Speakers, DTS:X Ultra, HP Audio Boost | Battery: 59 Wh | Connectivity: Wi-Fi 7, Bluetooth 5.4 | Ports: 2x USB-A 1x USB-C 1x Thunderbolt 4 USB-C 1x HDMI 2.1 1x Headphone / microphone combo jack | Dimension: | Weight: 1.39 kg | Warranty: Official HP Warranty 2 Years + Accidental Damage Protection</t>
  </si>
  <si>
    <t>https://www.agres.id/products/hp-envy-x360-14-oled-ryzen-7-8840hs-32gb-1tb-w11ohs-140-28k-120hz-blit-pen-2yadp-2in1-slv--fa0888au</t>
  </si>
  <si>
    <t>https://res.cloudinary.com/dbuug9eey/image/upload/v1765367615/products/k4cjdpf80dtwrlrhtppr.jpg</t>
  </si>
  <si>
    <t>cpu amd performa tinggi grafis menengah multitasking ekstrem penyimpanan sangat besar ringan layar sedang layar oled resolusi tinggi mudah dibawa cocok multimedia</t>
  </si>
  <si>
    <t>hp envy x360 14 amd ryzen 7 8840hs radeon graphics ram 32gb ssd 1tb layar 14.0 inch cpu performa tinggi grafis menengah multitasking ekstrem penyimpanan sangat besar ringan sedang oled resolusi mudah dibawa cocok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travel lancar cepat office kuliah presentasi</t>
  </si>
  <si>
    <t>HP HYPERX OMEN 15 I7 14650HX RTX5060 8GB/ 24GB 1TB W11+OHS+M365B 15.3WQXGA 180HZ 100SRGB 4ZRGB 2Y+2ADP BLK -GA0888TX</t>
  </si>
  <si>
    <t>HP HYPERX OMEN 15</t>
  </si>
  <si>
    <t>24,999,000.00</t>
  </si>
  <si>
    <t>Intel Core i7-14650HX</t>
  </si>
  <si>
    <t>2.21 kg</t>
  </si>
  <si>
    <t>15,3 Inch</t>
  </si>
  <si>
    <t>Brand: HP | Tipe: HyperX OMEN | Color: Shadow Black | Operating System: Windows 11 Home Single Language + Office Home &amp; Student + Microsoft 365 Basic | Processor: Intel Core i7-14650HX (up to 5.2 GHz with Intel Turbo Boost Technology, 30 MB L3 Cache, 16 Cores, 24 Threads) | Graphics: NVIDIA GeForce RTX 5060 Laptop GPU 8 GB GDDR7 | RAM: 24 GB DDR5-5600 (1 x 24 GB, Upgradeable, 2 Slots) | Storage: 1 TB PCIe Gen4 NVMe™ M.2 SSD | Main Display Size: 15.3 Inch | Main Display Type: IPS, Anti-Glare, Micro-Edge, 180 Hz, 3 ms Response Time, 500 nits | Display Resolution: WQXGA 2560 x 1600, 100% sRGB | Camera: 1080p FHD Webcam with HDR Auto Switch and Dual Array Digital Microphones | Audio: Dual Speakers, DTS:X Ultra, HP Audio Boost, HyperX | Battery: 70 Wh 4-Cell Li-ion Polymer Charger: 280 W AC Adapter | Connectivity: Realtek Wi-Fi 6 (2x2), Bluetooth 5.4, Integrated 10/100/1000 GbE LAN | Ports: 2x USB Type-A 10Gbps 1x USB Type-C 10Gbps (Power Delivery 3.1, DisplayPort™ 1.4, HP Sleep and Charge) 1x HDMI 2.1 1x RJ-45 1x Headphone / microphone combo jack 1x AC Smart Pin | Dimension: 34.3 x 25.3 x 2.25 cm (Front) / 34.3 x 25.3 x 2.36 cm (Rear) | Weight: 2.21 kg | Warranty: Official HP Warranty 2 Years</t>
  </si>
  <si>
    <t>https://www.agres.id/products/hp-omen-15-ga0888tx-i7-14650hx-24gb-1tb-rtx5060-8gb-w11-153wqxga-ips-180hz-blk</t>
  </si>
  <si>
    <t>https://res.cloudinary.com/dbuug9eey/image/upload/v1771903671/products/gjlt28fffiykoh9cuihd.jpg</t>
  </si>
  <si>
    <t>cpu intel performa tinggi gaming berat multitasking lancar penyimpanan sangat besar berat layar sedang layar bagus resolusi tinggi cocok gaming cocok kerja cocok multimedia</t>
  </si>
  <si>
    <t>hp hyperx omen 15 intel core i7 14650hx nvidia geforce rtx 5060 ram 24gb ssd 1tb layar 15.3 inch cpu performa tinggi gaming berat multitasking lancar penyimpanan sangat besar sedang bagus resolusi cocok kerja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sultan premium mulus cepat office kuliah presentasi</t>
  </si>
  <si>
    <t>HP HYPERX OMEN 15 RYZEN 5 240 RTX5050 8GB/ 16GB 1TB W11+OHS+M365B 15.3WQXGA 180HZ 100SRGB 4ZRGB 2Y+2ADP BLK -GB0555AX</t>
  </si>
  <si>
    <t>20,599,000.00</t>
  </si>
  <si>
    <t>AMD Ryzen 5 240</t>
  </si>
  <si>
    <t>2.42 kg</t>
  </si>
  <si>
    <t>Brand: HP | Tipe: HyperX OMEN 15-gb0555AX (D36YYPA) | Color: Shadow Black | Operating System: Windows 11 Home + Microsoft Office Home &amp; Student + 1 Year Microsoft 365 Basic | Processor: AMD Ryzen 5 240 (up to 5.0 GHz max boost clock, 16 MB L3 cache, 6 Cores, 12 Threads) with AMD Ryzen AI (16 NPU TOPS) | Graphics: NVIDIA GeForce RTX 5050 Laptop GPU 8 GB GDDR7 | RAM: 16 GB DDR5-5600 MT/s (Upgradeable, 2 Slots, 1 x 16 GB Installed) | Storage: 1 TB PCIe Gen4 NVMe™ M.2 SSD | Main Display Size: 15.3 Inch | Main Display Type: IPS, Micro-edge, Anti-glare, Low Blue Light, 500 nits, 100% sRGB | Display Resolution: WQXGA 2560 x 1600, 180 Hz, 3 ms, 16:10 | Camera: 1080p FHD with HDR Auto Switch, Dual Array Digital Microphones | Audio: DTS:X Ultra, Dual Speakers, HP Audio Boost, HyperX | Battery: 4-Cell 70 Wh Li-ion Polymer Charger: 150 W AC Adapter (Supports Fast Charge 50% in 30 Minutes) | Connectivity: Realtek Wi-Fi 6 (2x2), Bluetooth 5.4, Integrated 10/100/1000 GbE LAN | Ports: 2x USB Type-A 10Gbps 1x USB Type-C 10Gbps (USB Power Delivery 3.1, DisplayPort™ 1.4, HP Sleep and Charge) 1x HDMI 2.1 1x RJ-45 1x Headphone / microphone combo jack 1x AC Smart Pin | Dimension: 34.3 x 25.3 x 2.36 cm | Weight: Starting at 2.42 kg | Warranty: Official HP 2 Year Limited Warranty (Parts and Labor)</t>
  </si>
  <si>
    <t>https://www.agres.id/products/hp-hyperx-omen-15-ryzen-5-240-rtx5050-8gb-16gb-1tb-w11ohsm365b-153wqxga-180hz-100srgb-4zrgb-2y2adp-blk-gb0555ax</t>
  </si>
  <si>
    <t>https://res.cloudinary.com/dbuug9eey/image/upload/v1771410255/products/jqfzqf1isuysrufee2lg.jpg</t>
  </si>
  <si>
    <t>cpu amd performa menengah gaming berat multitasking lancar penyimpanan sangat besar berat layar sedang layar bagus resolusi tinggi cocok gaming cocok kerja cocok multimedia</t>
  </si>
  <si>
    <t>hp hyperx omen 15 amd ryzen 5 240 nvidia geforce rtx 5050 ram 16gb ssd 1tb layar 15.3 inch cpu performa menengah gaming berat multitasking lancar penyimpanan sangat besar sedang bagus resolusi tinggi cocok kerja multimedia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netflix kualitas bioskop warna akurat manjakan mata desainer tajam editing sultan premium mulus cepat office</t>
  </si>
  <si>
    <t>HP OMNIBOOK 5 FLIP TOUCH 14 CORE I5 120U 16GB 512GB W11+OHS+M365B 14.0 2K 2Y+2ADP 2IN1 PEN SLV -FP0558TU</t>
  </si>
  <si>
    <t>HP OMNIBOOK 5 FLIP</t>
  </si>
  <si>
    <t>13,549,000.00</t>
  </si>
  <si>
    <t>1.62 kg</t>
  </si>
  <si>
    <t>Brand: HP | Tipe: OmniBook 5 Flip Touch | Color: Glacier Silver | Operating System: Windows 11 Home Single Language + Office Home 2024 + 1 Year Microsoft 365 Basic | Processor: Intel Core 5 120U, up to 5.0 GHz with Intel Turbo Boost Technology, 10 Cores, 12 Threads | Graphics: Intel Graphics | RAM: 16 GB LPDDR5 | Storage: 512 GB PCIe Gen4 NVMe M.2 SSD | Main Display Size: 14 Inch | Main Display Type: IPS Multitouch, Edge-to-edge Glass, Micro-edge | Display Resolution: WUXGA 1920 x 1200, 300 nits, 62.5% sRGB | Camera: 5 MP IR Camera | Audio: Dual Speakers with HP Audio Boost | Battery: 4 Cell 68 Wh Charger: 45 W USB Type-C | Connectivity: Wi-Fi 6, Bluetooth 5.4 | Ports: 2x USB Type-A 2x USB Type-C 1x HDMI 2.1 | Dimension: 31.3 x 21.99 x 1.84 cm | Weight: 1.62 kg | Warranty: Official HP Warranty 2 Years Included: HP USB-C Rechargeable MPP2.0 Stylus Pen, HP Everyday 16 Inch Laptop Backpack</t>
  </si>
  <si>
    <t>https://www.agres.id/products/hp-omnibook-5-flip-14-touch-i5-120u-16gb-512gb-w110hsm365-140-2k-2yadp-slv-fp0558tu</t>
  </si>
  <si>
    <t>https://res.cloudinary.com/dbuug9eey/image/upload/v1772769488/products/coogbawejj1marp9s6ca.jpg</t>
  </si>
  <si>
    <t>hp omnibook 5 flip intel core 120u graphics grafis terintegrasi ram 16gb ssd 512gb layar 14.0 inch cpu performa dasar ringan multitasking lancar penyimpanan besar sedang bagus resolusi standar cocok kerja office nugas skripsi kuliah sekolah pelajar mahasiswa browsing internet zoom meeting nonton film youtube word excel presentasi ppt kantor buka banyak tab aplikasi anti lelet coding programming programmer software analis data cepat</t>
  </si>
  <si>
    <t>HP OMNIBOOK 7 AERO AI 13 RYZEN AI 7 350 16GB 512GB W11+OHS+M365B 13.3WQXGA IPS WHT -BG1778AU</t>
  </si>
  <si>
    <t>HP OMNIBOOK 7 AERO</t>
  </si>
  <si>
    <t>16,199,000.00</t>
  </si>
  <si>
    <t>AMD Radeon 860M Graphics</t>
  </si>
  <si>
    <t>13,3 Inch</t>
  </si>
  <si>
    <t>Brand: HP | Tipe: OmniBook 7 Aero 13 | Color: Ceramic White | Operating System: Windows 11 Home Single Language + Office Home &amp; Student + Microsoft 365 Basic | Processor: AMD Ryzen AI 7 350 Up to 5.0 GHz 8 Cores 16 Threads 16 MB L3 Cache | Graphics: AMD Radeon 860M Graphics | RAM: 16 GB LPDDR5X-7500 Onboard | Storage: 512 GB PCIe Gen4 NVMe™ M.2 SSD | Main Display Size: 13.3 Inch | Main Display Type: WQXGA IPS Micro-edge Anti-glare 400 nits 100% sRGB | Display Resolution: 2560 x 1600 | Camera: 5MP IR Camera with Dual Array Microphones | Audio: Dual Speakers DTS:X Ultra HP Audio Boost Poly Studio | Battery: 43 Wh Charger: 65 W USB Type-C | Connectivity: Wi-Fi 6 2x2 Bluetooth 5.4 | Ports: 2x USB Type-A 2x USB Type-C 1x HDMI 2.1 1x Headphone / Microphone Combo Jack | Dimension: 29.73 x 21.12 x 1.74 cm | Weight: Less than 1 kg | Warranty: 1 Year Official Warranty with Accidental Damage Protection</t>
  </si>
  <si>
    <t>https://www.agres.id/products/hp-omnibook-aero-7-13-ryzen-ai-7-350-16gb-512gb-w11ohsm365b-133wqxga-ips-wht-bg1778au</t>
  </si>
  <si>
    <t>https://res.cloudinary.com/dbuug9eey/image/upload/v1772445502/products/hdmxdu3fsu1fl5vrip3m.jpg</t>
  </si>
  <si>
    <t>cpu amd performa dasar ai ready grafis menengah multitasking lancar penyimpanan besar ultra ringan layar compact layar bagus resolusi tinggi cocok kerja mudah dibawa cocok multimedia</t>
  </si>
  <si>
    <t>hp omnibook 7 aero amd ryzen ai 350 radeon 860m graphics ram 16gb ssd 512gb layar 13.3 inch cpu performa dasar ready grafis menengah multitasking lancar penyimpanan besar ultra ringan compact bagus resolusi tinggi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netflix kualitas bioskop warna akurat manjakan mata desainer tajam travel cepat office</t>
  </si>
  <si>
    <t>HP OMNIBOOK 7 OLED 14 CORE 9 270H 32GB 1TB W11+OHS+M365B 14.0 2.8K 120HZ 2Y+2ADP SLV -FS0999TU</t>
  </si>
  <si>
    <t>HP OMNIBOOK 7 OLED</t>
  </si>
  <si>
    <t>23,849,000.00</t>
  </si>
  <si>
    <t>Intel Core 9 270H</t>
  </si>
  <si>
    <t>Brand: HP | Tipe: OMNIBOOK 7 | Color: Meteor Silver | Operating System: Windows 11 Home SL + Microsoft Office Home and Student + Microsoft 365 Basic | Processor: Intel Core 9 270H (up to 5.8 GHz, 24MB Cache, 14 Cores, 20 Threads) | Graphics: Intel Graphics | RAM: 32 GB LPDDR5-5200 (Onboard) | Storage: 1 TB PCIe Gen4 NVMe SSD | Main Display Size: 14 Inch | Main Display Type: 2.8K 2880 x 1800 OLED, 48-120Hz, 0.2ms, UWVA, BrightView, Low Blue Light, 100% DCI-P3 | Display Resolution: 2880 x 1800, SDR 400 nits, HDR 500 nits | Camera: 5MP IR Camera with Temporal Noise Reduction Dual Array Microphones | Audio: DTS:X Ultra Dual Speakers HP Audio Boost Poly Studio | Battery: 4-Cell 68 Wh Charger: 100 W USB Type-C Adapter | Connectivity: Wi-Fi 6E AX211, Bluetooth 5.3 | Ports: 1x USB Type-A 10Gbps 1x USB Type-A 5Gbps 1x HDMI 2.1 1x Headphone / Microphone Combo Jack 1x USB Type-C 10Gbps (PD 3.1, DP 1.4a, HP Sleep and Charge) 1x Thunderbolt 4 USB Type-C 40Gbps (PD 3.1, DP 1.4, HP Sleep and Charge) 2x M.2 SSD Slot | Dimension: | Weight: 1.41 kg | Warranty: Official HP Warranty 2 Years with Accidental Damage Protection</t>
  </si>
  <si>
    <t>https://www.agres.id/products/hp-omnibook-7-oled-14-core-9-270h-32gb-1tb-w11ohsm365b-140-2.8K-120hz-2yadp-slv--fs0999tu</t>
  </si>
  <si>
    <t>https://res.cloudinary.com/dbuug9eey/image/upload/v1765192462/products/pxzo5knxcat2ttatel68.jpg</t>
  </si>
  <si>
    <t>ringan, tipis, mudah dibawa, travel, sultan, premium, layar mulus, gaming cepat, multitasking, lancar, kinerja cepat, boot cepat, loading cepat, office, kuliah, presentasi</t>
  </si>
  <si>
    <t>cpu intel performa dasar grafis ringan multitasking ekstrem penyimpanan sangat besar ringan layar sedang layar oled resolusi tinggi mudah dibawa cocok office cocok multimedia</t>
  </si>
  <si>
    <t>hp omnibook 7 oled intel core 9 270h graphics grafis terintegrasi ram 32gb ssd 1tb layar 14.0 inch cpu performa dasar ringan multitasking ekstrem penyimpanan sangat besar sedang resolusi tinggi mudah dibawa cocok office multimedia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netflix kualitas bioskop warna akurat manjakan mata desainer tajam travel sultan premium mulus gaming cepat lancar</t>
  </si>
  <si>
    <t>HP OMNIBOOK ULTRA FLIP 14 OLED ULTRA 9 288V 32GB 2TB W11+OHS 14.0 2.8K VRR 120HZ 2Y+2ADP 2IN1 EVO BLU -FH0556TU</t>
  </si>
  <si>
    <t>HP OMNIBOOK ULTRA FLIP</t>
  </si>
  <si>
    <t>31,949,000.00</t>
  </si>
  <si>
    <t>Intel Core Ultra 9 288V</t>
  </si>
  <si>
    <t>Brand: HP | Tipe: Omnibook Ultra Flip 14 | Color: Atmospheric Blue | Operating System: Windows 11 Home Single Language + Microsoft Office Home and Student | Processor: Intel Core Ultra 9 288V, 8 Cores, up to 5.1 GHz | Graphics: Intel Arc Graphics | RAM: 32 GB LPDDR5X-8533 Onboard | Storage: 2 TB SSD NVMe PCIe Gen4 | Main Display Size: 14 Inch | Main Display Type: OLED Touchscreen, Gorilla Glass 5, Low Blue Light | Display Resolution: 2.8K 2880 x 1800, VRR 48–120 Hz, SDR 400 nits, HDR 500 nits | Camera: 9 MP IR AI Camera | Audio: DTS:X Ultra Quad Speakers, Poly Studio, HP Audio Boost | Battery: 64 Wh | Connectivity: Wi-Fi 7, Bluetooth 5.4 | Ports: 2x Thunderbolt 4 USB-C 1x USB-C 1x Audio Jack | Dimension: | Weight: 1.34 kg | Warranty: Official HP Warranty 2 Years + ADP</t>
  </si>
  <si>
    <t>https://www.agres.id/products/hp-omnibook-ultra-flip-14-oled-ultra-9-288v-32gb-2tb-w11ohs-140-28k-vrr-120hz-2yadp-2in1-evo-blu--fh0556tu</t>
  </si>
  <si>
    <t>https://res.cloudinary.com/dbuug9eey/image/upload/v1765427214/products/hggak3dsvw1a0yxlral2.jpg</t>
  </si>
  <si>
    <t>cpu intel performa sangat tinggi grafis modern multitasking ekstrem penyimpanan sangat besar ringan layar sedang layar oled resolusi tinggi mudah dibawa cocok multimedia</t>
  </si>
  <si>
    <t>hp omnibook ultra flip intel core 9 288v arc graphics grafis terintegrasi ram 32gb ssd 2tb layar 14.0 inch cpu performa sangat tinggi modern multitasking ekstrem penyimpanan besar ringan sedang oled resolusi mudah dibawa cocok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travel sultan premium mulus cepat lancar office kuliah presentasi</t>
  </si>
  <si>
    <t>HP VICTUS 15 I5 13420H RTX3050 6GB/ 16GB 512GB W11+OHS 15.6FHD 144HZ BLIT 2Y+2ADP SLV -FA2716TX</t>
  </si>
  <si>
    <t>HP VICTUS 15 I5</t>
  </si>
  <si>
    <t>16,999,000.00</t>
  </si>
  <si>
    <t>Intel Core i5 13420H</t>
  </si>
  <si>
    <t>2.29 kg</t>
  </si>
  <si>
    <t>Brand: HP | Tipe: Victus 15 | Color: Mica Silver | Operating System: Windows 11 Home Single Language + Microsoft Office Home and Student | Processor: Intel Core i5 13420H, 8 Cores 12 Threads, up to 4.6 GHz | Graphics: NVIDIA GeForce RTX 3050 Laptop GPU, 6 GB VRAM | RAM: 16 GB DDR4 3200 MHz (1x 16 GB, Up to 64 GB) | Storage: 512 GB SSD PCIe Gen4 NVMe M.2 | Main Display Size: 15.6 Inch | Main Display Type: IPS Anti Glare Micro Edge | Display Resolution: FHD 1920 x 1080 Refresh Rate: 144 Hz Brightness: 300 nits | Camera: HP Wide Vision 720p HD Webcam with Temporal Noise Reduction | Audio: DTS X Ultra Dual Speakers HP Audio Boost | Battery: 52.5 Wh Charger: 120 W AC Adapter | Connectivity: Wi Fi 6, Bluetooth 5.4 | Ports: 2x USB Type A 5 Gbps 1x USB Type C 5 Gbps with DisplayPort 1.4a HP Sleep and Charge 1x HDMI 2.1 1x Audio jack 1x Ethernet RJ45 1x SD Card Reader 1x AC Smart Pin | Weight: 2.29 kg | Warranty: Official HP Warranty 2 Years + Accidental Damage Protection 2 Years</t>
  </si>
  <si>
    <t>https://www.agres.id/products/hp-victus-15-i5-13420h-rtx3050-6gb-16gb-512gb-w11ohs-156fhd-144hz-blit-2y2adp-slv-fa2716tx</t>
  </si>
  <si>
    <t>https://res.cloudinary.com/dbuug9eey/image/upload/v1769480197/products/pzdxo7huslzqeeec4bec.jpg</t>
  </si>
  <si>
    <t>cpu intel performa menengah gaming berat multitasking lancar penyimpanan besar berat layar sedang layar bagus resolusi standar cocok gaming cocok kerja</t>
  </si>
  <si>
    <t>hp victus 15 i5 intel core 13420h nvidia geforce rtx 3050 ram 16gb ssd 512gb layar 15.6 inch cpu performa menengah gaming berat multitasking lancar penyimpanan besar sedang bagus resolusi standar cocok kerja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editing nyaman multimedia mulus cepat office</t>
  </si>
  <si>
    <t>HP VICTUS 15 RYZEN 7 260 RTX5050 8GB/ 24GB 512GB W11+OHS+M365B 15.6FHD IPS SLV -FB3232AX</t>
  </si>
  <si>
    <t>HP VICTUS 15 RYZEN</t>
  </si>
  <si>
    <t>19,799,000.00</t>
  </si>
  <si>
    <t>Brand: Acer | Tipe: Victus 15 | Color: Grey | Operating System: Windows 11 Home + Microsoft Office Home 2024 + Microsoft 365 Basic 1 Year | Processor: AMD Ryzen 7 260, 8 Cores, 16 Threads, up to 5.1 GHz, 16 MB L3 Cache | Graphics: NVIDIA GeForce RTX 5050 Laptop GPU 8 GB GDDR7 | RAM: 24 GB DDR5 | Storage: 512 GB PCIe Gen4 NVMe M.2 SSD | Main Display Size: 15.6 Inch | Main Display Type: IPS, Micro-edge, Anti-glare | Display Resolution: FHD 1920 x 1080, 144 Hz, 300 nits, 62.5% sRGB | Camera: HP Wide Vision 720p HD Camera with dual array digital microphones | Audio: Dual speakers with DTS X Ultra and HP Audio Boost | Battery: 70 Wh Charger: 200 W Smart AC Power Adapter | Connectivity: Wi-Fi 6, Bluetooth 5.4 | Ports: 2x USB-A 1x USB-C 1x HDMI 2.1 1x Headphone / microphone combo jack 1x Ethernet (RJ-45) 1x AC smart pin | Dimension: 35.79 x 25.5 x 2.35 cm | Weight: 2.29 kg | Warranty: Official Acer Warranty</t>
  </si>
  <si>
    <t>https://www.agres.id/products/hp-victus-15-ryzen-7-260-rtx5050-8gb-24gb-512gb-w11ohsm365b-156fhd-ips-slv-fb3232ax</t>
  </si>
  <si>
    <t>https://res.cloudinary.com/dbuug9eey/image/upload/v1773208699/products/pwjmn7tqjvijhrjcj3cc.jpg</t>
  </si>
  <si>
    <t>acer hp victus 15 ryzen amd 7 260 nvidia geforce rtx 5050 ram 24gb ssd 512gb layar 15.6 inch cpu performa tinggi gaming berat multitasking lancar penyimpanan besar sedang bagus resolusi standar cocok kerja kantor buka banyak tab aplikasi anti lelet coding programming programmer software analis data gamer rata kanan gta cyberpunk render 3d autocad blender sketchup video editor profesional premiere pro after effects editing nyaman nonton multimedia mulus cepat office kuliah presentasi</t>
  </si>
  <si>
    <t>INFINIX INBOOK AIR PRO+ OLED I5 1334 16GB 512GB W11 14.0 2.8K 120HZ 1KG 2Y GRY</t>
  </si>
  <si>
    <t>INFINIX INBOOK AIR PRO+</t>
  </si>
  <si>
    <t>Infinix</t>
  </si>
  <si>
    <t>11,499,000.00</t>
  </si>
  <si>
    <t>LPDDR4X</t>
  </si>
  <si>
    <t>Brand: Infinix | Tipe: INBOOK AIR PRO+ | Color: Grey | Operating System: Windows 11 Home | Processor: Intel Core i5-1334U, up to 4.4 GHz, 10 Cores | Graphics: Intel Iris Xe Graphics | RAM: 16 GB LPDDR4X 4267 MHz | Storage: 512 GB SSD NVMe PCIe 3.0 | Main Display Size: 14 Inch | Main Display Type: OLED, 120Hz, 16:10, 100% DCI-P3, 440 nits, Eye Care | Display Resolution: 2.8K 2880 x 1800 | Camera: FHD Webcam | Audio: Quad Speaker, DTS Audio Processing | Battery: 57 Wh Charger: 65 W USB Type-C | Connectivity: Wi-Fi 6, Bluetooth 5.2 | Ports: 1x USB 3.2 Gen 1 2x USB Type-C (Data Only) 1x USB Type-C (Full Function) 1x HDMI 1.4 1x 3.5 mm Audio Combo Jack | Dimension: 331.5 x 225.6 x 13.4 mm | Weight: 1 kg | Warranty: Official Infinix Warranty 2 Years</t>
  </si>
  <si>
    <t>https://www.agres.id/products/infinix-inbook-air-pro-oled-i5-1334-16gb-512gb-w11-140-28k-120hz-1kg-gry</t>
  </si>
  <si>
    <t>https://res.cloudinary.com/dbuug9eey/image/upload/v1775011390/products/cfarrzvohw12s7knv7i2.jpg</t>
  </si>
  <si>
    <t>ringan, tipis, mudah dibawa, travel, menengah, layar mulus, gaming cepat, multitasking, lancar, kinerja cepat, boot cepat, loading cepat</t>
  </si>
  <si>
    <t>cpu intel performa menengah grafis ringan multitasking lancar penyimpanan besar ultra ringan layar sedang layar oled resolusi tinggi cocok kerja mudah dibawa cocok office cocok multimedia</t>
  </si>
  <si>
    <t>infinix inbook air pro intel core i5 1334u iris xe graphics grafis terintegrasi ram 16gb ssd 512gb layar 14.0 inch cpu performa menengah ringan multitasking lancar penyimpanan besar ultra sedang oled resolusi tinggi cocok kerja mudah dibawa office multimedia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netflix kualitas bioskop warna akurat manjakan mata desainer tajam travel mulus gaming cepat</t>
  </si>
  <si>
    <t>LENOVO IDEAPAD 5 2IN1 14 OLED TOUCH RYZEN AI 5 340 16GB 512GB W11+OHS+M365B 14.0WUXGA PEN 2Y+2ADP BLU -64ID</t>
  </si>
  <si>
    <t>LENOVO IDEAPAD 5 2IN1</t>
  </si>
  <si>
    <t>Lenovo</t>
  </si>
  <si>
    <t>17,699,000.00</t>
  </si>
  <si>
    <t>Integrated AMD Radeon 840M</t>
  </si>
  <si>
    <t>AMD Ryzen AI 5 340</t>
  </si>
  <si>
    <t>Brand: Lenovo | Tipe: IdeaPad 5 2 in 1 | Color: Cosmic Blue | Operating System: Windows 11 Home Single Language + Microsoft 365 Basic + Office Home 2024 | Processor: AMD Ryzen AI 5 340 (6C / 12T, 2.0 / 4.8GHz, 6MB L2 / 16MB L3) | Graphics: Integrated AMD Radeon 840M NPU: Integrated AMD Ryzen AI up to 50 TOPS | RAM: 16 GB LPDDR5X-7500 (Soldered, Dual Channel, Not Upgradable) | Storage: 512 GB SSD M.2 2242 PCIe 4.0x4 NVMe | Main Display Size: 14 Inch | Main Display Type: OLED, Touchscreen, 60Hz, 100% DCI-P3, 500 nits Peak | Display Resolution: WUXGA 1920 x 1200 | Camera: FHD 1080p + IR with Privacy Shutter | Audio: Stereo Speakers 2W x2 with Dolby Audio | Battery: 57 Wh Charger: 65 W USB-C | Connectivity: Wi-Fi 7, Bluetooth 5.4 | Ports: 2x USB-C USB 10Gbps with Power Delivery and DisplayPort 1.4 2x USB-A USB 5Gbps 1x HDMI 1.4b 1x Headphone / microphone combo jack 1x microSD card reader | Dimension: 313 x 227 x 17.5 mm | Weight: 1.5 kg | Warranty: 1 Year Courier or Carry-in + 2Y ADP + 2Y Premium Care</t>
  </si>
  <si>
    <t>https://www.agres.id/products/lenovo-ideapad-5-2in1-14-touch-oled-ryzen-ai-340-16gb-512gb-w11ohsm365b-140wuxga-cosmic-blu-64id</t>
  </si>
  <si>
    <t>https://res.cloudinary.com/dbuug9eey/image/upload/v1772074507/products/rskuiqcwow8yv8jis2xe.jpg</t>
  </si>
  <si>
    <t>cpu amd performa dasar ai ready grafis menengah multitasking lancar penyimpanan besar ringan layar sedang layar oled resolusi standar cocok kerja mudah dibawa cocok multimedia</t>
  </si>
  <si>
    <t>lenovo ideapad 5 2in1 amd ryzen ai 340 integrated radeon 840m grafis terintegrasi ram 16gb ssd 512gb layar 14.0 inch cpu performa dasar ready menengah multitasking lancar penyimpanan besar ringan sedang oled resolusi standar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cepat office</t>
  </si>
  <si>
    <t>LENOVO IDEAPAD 5 2IN1 14 OLED TOUCH RYZEN AI 5 340 16GB 512GB W11+OHS+M365B 14.0WUXGA PEN 2Y+2ADP GRY -63ID</t>
  </si>
  <si>
    <t>Brand: Lenovo | Tipe: IdeaPad 5 2-in-1 14AKP10 | Color: Luna Grey | Operating System: Windows 11 Home Single Language + Microsoft Office Home 2024 + Microsoft 365 Basic | Processor: AMD Ryzen AI 5 340, 6 Cores 12 Threads, up to 4.8 GHz | Graphics: Integrated AMD Radeon 840M | RAM: 16 GB LPDDR5X 7500 Onboard Not Upgradeable | Storage: 512 GB SSD M.2 2242 PCIe 4.0 NVMe Up to 1TB | Main Display Size: 14 Inch | Main Display Type: OLED Glossy Touchscreen | Display Resolution: WUXGA 1920 x 1200, 100% DCI-P3 | Camera: FHD 1080p IR Camera with Privacy Shutter | Audio: Stereo speakers 2W x2 with Dolby Audio | Battery: 57 Wh | Connectivity: Wi-Fi 7, Bluetooth 5.4 | Ports: 2x USB-A 2x USB-C 1x HDMI 1.4b 1x Headphone microphone combo jack 1x microSD card reader | Dimension: 313 x 227 x 17.5 mm | Weight: Starting at 1.5 kg | Warranty: Official Lenovo Warranty 1 Year + 2 Years Premium Care + 2 Years ADP</t>
  </si>
  <si>
    <t>https://www.agres.id/products/lenovo-ideapad-5-2in1-touch-oled-ryzen-ai-5-340-16gb-512gb-w11ohsm365b-140wuxga-luna-gry-63id</t>
  </si>
  <si>
    <t>https://res.cloudinary.com/dbuug9eey/image/upload/v1770204651/products/mtoeylxwhenimhrifdfp.jpg</t>
  </si>
  <si>
    <t>cpu amd performa dasar ai ready grafis menengah multitasking lancar penyimpanan sangat besar ringan layar sedang layar oled resolusi standar cocok kerja mudah dibawa cocok multimedia</t>
  </si>
  <si>
    <t>LENOVO IDEAPAD 5 2IN1 14 TOUCH I5 13420H 16GB 512GB W11+OHS+M365B 14.0WUXGA PEN 2Y+2ADP GRY -89ID</t>
  </si>
  <si>
    <t>1.6 kg</t>
  </si>
  <si>
    <t>Brand: Lenovo | Tipe: IdeaPad 5 2-in-1 14IRH9 | Color: Luna Grey | Operating System: Windows 11 Home Single Language + Microsoft Office Home 2024 + Microsoft 365 Basic | Processor: Intel Core i5-13420H, 8 Cores 12 Threads, up to 4.6 GHz | Graphics: Integrated Intel UHD Graphics | RAM: 16 GB LPDDR5X 5200 Onboard Not Upgradeable | Storage: 512 GB SSD M.2 2242 PCIe 4.0 NVMe Up to 1TB | Main Display Size: 14 Inch | Main Display Type: IPS Glossy Touchscreen | Display Resolution: WUXGA 1920 x 1200, 45% NTSC | Camera: FHD 1080p Webcam with Privacy Shutter | Audio: Stereo speakers 2W x2 with Dolby Audio | Battery: 57 Wh | Connectivity: Wi-Fi 6, Bluetooth 5.2 | Ports: 2x USB-A 2x USB-C 1x HDMI 1.4b 1x Headphone microphone combo jack 1x microSD card reader | Dimension: 313 x 227 x 17.5 mm | Weight: Starting at 1.6 kg | Warranty: Official Lenovo Warranty 1 Year + 2 Years Premium Care + 2 Years ADP</t>
  </si>
  <si>
    <t>https://www.agres.id/products/lenovo-ideapad-5-2in1-touch-i5-13420h-16gb-512gb-w11ohsm365b-140wuxga-luna-gry-89id</t>
  </si>
  <si>
    <t>cpu intel performa menengah grafis ringan multitasking lancar penyimpanan sangat besar sedang layar sedang layar bagus resolusi standar cocok kerja cocok office</t>
  </si>
  <si>
    <t>lenovo ideapad 5 2in1 intel core i5 13420h integrated uhd graphics grafis terintegrasi ram 16gb ssd 512gb layar 14.0 inch cpu performa menengah ringan multitasking lancar penyimpanan besar sedang bagus resolusi standar cocok kerja office nugas skripsi kuliah sekolah pelajar mahasiswa browsing internet zoom meeting nonton film youtube word excel presentasi ppt kantor buka banyak tab aplikasi anti lelet coding programming programmer software analis data cepat</t>
  </si>
  <si>
    <t>LENOVO IDEAPAD 5 2IN1 14 TOUCH OLED CORE I7 150U 16GB 512GB W11+OHS 14.0WUXGA PEN 2Y+2ADP BLU -7PID</t>
  </si>
  <si>
    <t>18,599,000.00</t>
  </si>
  <si>
    <t>Brand: Lenovo | Tipe: LENOVO IDEAPAD 5 2IN1 | Color: Cosmic Blue Berat: 1.5 kg Material: Aluminium KONEKTIVITAS Wi-Fi 6 Bluetooth 5.2 Port tersedia: 2x USB 3.2 Gen 1 2x USB-C PD dan DisplayPort 1x HDMI 1.4b 1x Audio Jack 1x microSD Card Reader SOFTWARE Windows 11 Home SL Office Home and Student 2021 Microsoft 365 Basic tidak termasuk GARANSI RESMI 2 Tahun Premium Care 2 Tahun ADP Accidental Damage Protection | Operating System: Windows 11 | Processor: Intel Core 7 150U 10C 12T sampai 5.4GHz | Graphics: Intel Graphics | RAM: 16GB LPDDR5X-5200 onboard tidak dapat upgrade | Storage: 512GB SSD M.2 PCIe 4.0 NVMe upgradable max 1TB | Main Display Size: 14 Inch | Main Display Type: OLED Glossy Touch Pen: Lenovo Digital Pen 2 Brightness: 400 nits Keyboard: Backlit English | Display Resolution: WUXGA 1920 x 1200 | Camera: FHD 1080p with Privacy Shutter | Audio: Dolby Audio Stereo Speaker 2W x2 | Battery: 57Wh Charger: 65W USB-C DESAIN Layar: 14” WUXGA 1920 x 1200</t>
  </si>
  <si>
    <t>https://www.agres.id/products/lenovo-ideapad-5-2in1-14-touch-oled-core-i7-150u-16gb-512gb-w11ohs-140wuxga-pen-2y2adp-blu--7pid</t>
  </si>
  <si>
    <t>https://res.cloudinary.com/dbuug9eey/image/upload/v1764852363/products/nza5ym0rfxmhhweoweud.jpg</t>
  </si>
  <si>
    <t>cpu intel performa dasar grafis ringan multitasking lancar penyimpanan sangat besar ringan layar sedang layar oled resolusi standar cocok kerja mudah dibawa cocok office cocok multimedia</t>
  </si>
  <si>
    <t>lenovo ideapad 5 2in1 intel core 7 150u graphics grafis terintegrasi ram 16gb ssd 512gb layar 14.0 inch cpu performa dasar ringan multitasking lancar penyimpanan besar sedang oled resolusi standar cocok kerja mudah dibawa office multimedia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netflix kualitas bioskop warna akurat manjakan mata desainer tajam cepat</t>
  </si>
  <si>
    <t>LENOVO IDEAPAD 5 2IN1 14 TOUCH OLED I7 13620H 16GB 512GB W11+OHS+M365B 14.0WUXGA PEN 2Y+2ADP BLU -8AID</t>
  </si>
  <si>
    <t>18,499,000.00</t>
  </si>
  <si>
    <t>Brand: Lenovo | Tipe: IdeaPad 5 2-in-1 | Color: Cosmic Blue | Operating System: Windows 11 Home Single Language + Microsoft 365 Basic + Office Home 2024 | Processor: Intel Core i7-13620H, 10 Cores (6P + 4E) / 16 Threads, P-core up to 4.9GHz, E-core up to 3.6GHz, 24MB Intel Smart Cache | Graphics: Intel UHD Graphics | RAM: 16 GB LPDDR5X-5200 (Soldered, Dual Channel, Not Upgradable) | Storage: 512 GB M.2 2242 PCIe 4.0 x4 NVMe SSD | Main Display Size: 14 Inch | Main Display Type: OLED, Glossy, Touchscreen 10-point Multi-touch, 400 nits, 100% DCI-P3, 60Hz, TÜV Low Blue Light | Display Resolution: WUXGA 1920 x 1200, 16:10 Aspect Ratio | Camera: FHD 1080p Webcam with Privacy Shutter | Audio: Stereo Speakers 2W x2 with Dolby Audio, Dual Array Microphone | Battery: 57 Wh Charger: 65 W USB-C | Connectivity: Wi-Fi 6 802.11ax 2x2, Bluetooth 5.2 | Ports: 2x USB-A 5Gbps 2x USB-C 10Gbps with Power Delivery and DisplayPort 1.4 1x HDMI 1.4b 1x Headphone / microphone combo jack 1x microSD card reader | Dimension: 313 x 227 x 17.5 mm | Weight: 1.5 kg | Warranty: 1 Year Courier or Carry-in + 2Y ADP + 2Y Premium Care</t>
  </si>
  <si>
    <t>https://www.agres.id/products/lenovo-ideapad-5-2in1-14-oled-touch-i7-13620h-16gb-512gb-w11ohsm365b-140wuxga-pen-2y2adp-blu-8aid</t>
  </si>
  <si>
    <t>https://res.cloudinary.com/dbuug9eey/image/upload/v1775033011/products/xhdrh0toexd36cwq9zj2.jpg</t>
  </si>
  <si>
    <t>cpu intel performa tinggi grafis ringan multitasking lancar penyimpanan besar ringan layar sedang layar oled resolusi standar cocok kerja mudah dibawa cocok office cocok multimedia</t>
  </si>
  <si>
    <t>lenovo ideapad 5 2in1 intel core i7 13620h uhd graphics grafis terintegrasi ram 16gb ssd 512gb layar 14.0 inch cpu performa tinggi ringan multitasking lancar penyimpanan besar sedang oled resolusi standar cocok kerja mudah dibawa office multimedia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netflix kualitas bioskop warna akurat manjakan mata desainer tajam gaming berat editing video render 3d cepat</t>
  </si>
  <si>
    <t>LENOVO IDEAPAD 5 2IN1 14 TOUCH OLED I7 13620H 16GB 512GB W11+OHS+M365B 14.0WUXGA PEN 2Y+2ADP GRY -8BID</t>
  </si>
  <si>
    <t>Brand: Lenovo | Tipe: IdeaPad 5 2-in-1 14IRH9 | Color: Luna Grey | Operating System: Windows 11 Home Single Language + Microsoft 365 Basic + Office Home 2024 | Processor: Intel Core i7-13620H, 10 Cores 16 Threads, up to 4.9 GHz | Graphics: Integrated Intel UHD Graphics | RAM: 16 GB LPDDR5X-5200 (Soldered, Dual Channel, Not Upgradeable) | Storage: 512 GB SSD M.2 2242 PCIe 4.0 NVMe | Main Display Size: 14 Inch | Main Display Type: OLED, Glossy, Touchscreen, 400 nits, 100% DCI-P3 | Display Resolution: WUXGA 1920 x 1200 | Camera: FHD Webcam with Privacy Shutter | Audio: Two built-in stereo speakers with Dolby Audio™ | Battery: 57 Wh Charger: 65 W USB-C | Connectivity: Wi-Fi 6, Bluetooth 5.2 | Ports: 2x USB-A 2x USB-C 1x HDMI 1.4b 1x Headphone / microphone combo jack 1x microSD card reader | Dimension: 313 x 227 x 17.5 mm | Weight: 1.5 kg | Warranty: 1 Year Warranty + 2Y ADP + 2Y Premium Care</t>
  </si>
  <si>
    <t>https://www.agres.id/products/lenovo-ideapad-5-2in1-14-oled-touch-i7-13620h-16gb-512gb-w11ohsm365b-140wuxga-pen-2y2adp-gry-8bid</t>
  </si>
  <si>
    <t>https://res.cloudinary.com/dbuug9eey/image/upload/v1771411335/products/n8ik6e5ealzuglp8f0nv.jpg</t>
  </si>
  <si>
    <t>lenovo ideapad 5 2in1 intel core i7 13620h integrated uhd graphics grafis terintegrasi ram 16gb ssd 512gb layar 14.0 inch cpu performa tinggi ringan multitasking lancar penyimpanan besar sedang oled resolusi standar cocok kerja mudah dibawa office multimedia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netflix kualitas bioskop warna akurat manjakan mata desainer tajam gaming berat editing video render 3d cepat</t>
  </si>
  <si>
    <t>LENOVO IDEAPAD 5 2IN1 14 TOUCH ULTRA 5 225U 16GB 512GB W11+OHS+M365B 14.0WUXGA PEN 2Y+2ADP GRY -38ID</t>
  </si>
  <si>
    <t>17,499,000.00</t>
  </si>
  <si>
    <t>Integrated Intel Graphics</t>
  </si>
  <si>
    <t>Intel Core Ultra 5 225U</t>
  </si>
  <si>
    <t>Brand: Lenovo | Tipe: LENOVO IDEAPAD 5 2IN1 | Color: Luna Grey Berat: Starting at 1.6 kg KONEKTIVITAS Wi-Fi 7 + Bluetooth 5.4 Port tersedia: 2x USB 3.2 Gen 1 2x USB-C USB 3.2 Gen 2 with Power Delivery and DisplayPort 1x HDMI 1.4b 1x Audio Jack 1x microSD Card Reader SOFTWARE Windows 11 Home Single Language Microsoft Office Home Student Microsoft 365 Basic GARANSI RESMI 2 Tahun Premium Care 2 Tahun ADP Accidental Damage Protection | Operating System: Windows 11 | Processor: Intel Core Ultra 5 225U 12C 14T up to 4.8GHz | Graphics: Integrated Intel Graphics | RAM: 16GB LPDDR5X-8000 onboard not upgradable | Storage: 512GB SSD M.2 2242 PCIe 4.0 NVMe | Main Display Size: 14 Inch | Main Display Type: IPS Glossy TÜV Low Blue Light Glass Brightness: 300 nits Keyboard: Backlit English | Display Resolution: WUXGA 1920 x 1200 | Camera: FHD 1080p with IR and Privacy Shutter | Audio: Dolby Audio Stereo Speaker 2W x2 | Battery: 57Wh Charger: 65W USB-C DESAIN Layar: 14” WUXGA 1920 x 1200 Touchscreen</t>
  </si>
  <si>
    <t>https://www.agres.id/products/lenovo-ideapad-5-2in1-14-touch-ultra-5-225u-16gb-512gb-w11ohsm365b-140wuxga-pen-2y2adp-grey--38id</t>
  </si>
  <si>
    <t>https://res.cloudinary.com/dbuug9eey/image/upload/v1765874690/products/yzjejjyhamdhjh6sv9a3.jpg</t>
  </si>
  <si>
    <t>cpu intel performa menengah grafis ringan multitasking lancar penyimpanan besar sedang layar sedang layar bagus resolusi standar cocok kerja cocok office</t>
  </si>
  <si>
    <t>lenovo ideapad 5 2in1 intel core ultra 225u integrated graphics grafis terintegrasi ram 16gb ssd 512gb layar 14.0 inch cpu performa menengah ringan multitasking lancar penyimpanan besar sedang bagus resolusi standar cocok kerja office nugas skripsi kuliah sekolah pelajar mahasiswa browsing internet zoom meeting nonton film youtube word excel presentasi ppt kantor buka banyak tab aplikasi anti lelet coding programming programmer software analis data cepat</t>
  </si>
  <si>
    <t>LENOVO IDEAPAD 5 2IN1 14 TOUCH ULTRA 5 225U 16GB 512GB W11+OHS+M365B 14.0WUXGA PEN 2Y+2ADP GRY -61ID</t>
  </si>
  <si>
    <t>Brand: Lenovo | Tipe: IdeaPad 5 2 in 1 | Color: Luna Grey | Operating System: Windows 11 Home Single Language + Microsoft 365 Basic + Office Home 2024 | Processor: Intel Core Ultra 5 225U, 12 Cores (2P + 8E + 2LPE), 14 Threads, up to 4.8 GHz, 12 MB Intel Smart Cache, Intel AI Boost NPU up to 12 TOPS | Graphics: Integrated Intel Graphics | RAM: 16 GB LPDDR5X 8000 (Soldered, Not Upgradable) | Storage: 512 GB SSD M.2 PCIe 4.0 NVMe | Main Display Size: 14 Inch | Main Display Type: IPS, Glossy, Touchscreen | Display Resolution: WUXGA 1920 x 1200, 300 nits, 60 Hz, 45% NTSC | Camera: FHD 1080p IR Camera with Privacy Shutter | Audio: Two built-in stereo speakers with Dolby Audio | Battery: 57 Wh Charger: 65 W USB-C | Connectivity: Wi-Fi 7, Bluetooth 5.4 | Ports: 2x USB-A 2x USB-C 1x HDMI 1.4b 1x Headphone / microphone combo jack 1x microSD card reader | Dimension: 313 x 227 x 17.5 mm | Weight: 1.6 kg | Warranty: Official Lenovo Warranty 1 Year + ADP 2 Years + Premium Care 2 Years</t>
  </si>
  <si>
    <t>https://www.agres.id/products/lenovo-ideapad-5-2in1-14-touch-ultra-5-225u-16gb-512gb-w11ohsm365b-140wuxga-pen-2y2adp-gry-61id</t>
  </si>
  <si>
    <t>https://res.cloudinary.com/dbuug9eey/image/upload/v1773210988/products/m6ig46ham7dahidqztio.jpg</t>
  </si>
  <si>
    <t>LENOVO IDEAPAD 5 2IN1 14 TOUCH ULTRA 7 255U 16GB 512GB W11+OHS+M365B 14.0WUXGA PEN 2Y+2ADP GRY -39ID</t>
  </si>
  <si>
    <t>16,599,000.00</t>
  </si>
  <si>
    <t>Intel Core Ultra 7 255U</t>
  </si>
  <si>
    <t>Brand: Lenovo | Tipe: IdeaPad 5 2in1 | Color: Luna Grey | Operating System: Windows 11 Home Single Language + Office Home Student + Microsoft 365 Basic | Processor: Intel Core Ultra 7 255U Up To 5.2 GHz 12 Cores 14 Threads | Graphics: Integrated Intel Graphics | RAM: 16 GB LPDDR5X-8000 (Onboard) | Storage: 512 GB SSD M.2 2242 PCIe 4.0 NVMe | Main Display Size: 14 Inch | Main Display Type: IPS Glossy TÜV Low Blue Light Glass Touchscreen | Display Resolution: WUXGA 1920 x 1200 300 nits | Camera: FHD 1080p IR Camera With Privacy Shutter | Audio: Dolby Audio Stereo Speakers 2W x2 | Battery: 57 Wh Charger: 65 W USB-C | Connectivity: Wi-Fi 7 Bluetooth 5.4 | Ports: 2x USB 3.2 Gen 1 2x USB-C USB 3.2 Gen 2 Power Delivery DisplayPort 1x HDMI 1.4b 1x Audio Jack 1x microSD Card Reader Keyboard: Backlit English Keyboard Material: Aluminium Top PC-ABS With 40% Glass Fiber Bottom | Dimension: | Weight: Starting At 1.6 kg | Warranty: Lenovo Premium Care 2 Years + ADP Accidental Damage Protection 2 Years</t>
  </si>
  <si>
    <t>https://www.agres.id/products/lenovo-ideapad-5-2in1-14-touch-ultra-7-255u-16gb-512gb-w11ohsm365b-140wuxga-pen-2y2adp-grey--39id</t>
  </si>
  <si>
    <t>https://res.cloudinary.com/dbuug9eey/image/upload/v1765875214/products/rj8gqsh6crx5xsknox0f.jpg</t>
  </si>
  <si>
    <t>cpu intel performa tinggi grafis ringan multitasking lancar penyimpanan besar sedang layar sedang layar bagus resolusi standar cocok kerja cocok office</t>
  </si>
  <si>
    <t>lenovo ideapad 5 2in1 intel core ultra 7 255u integrated graphics grafis terintegrasi ram 16gb ssd 512gb layar 14.0 inch cpu performa tinggi ringan multitasking lancar penyimpanan besar sedang bagus resolusi standar cocok kerja office nugas skripsi kuliah sekolah pelajar mahasiswa browsing internet zoom meeting nonton film youtube word excel presentasi ppt kantor buka banyak tab aplikasi anti lelet coding programming programmer software analis data gaming berat editing video render 3d cepat</t>
  </si>
  <si>
    <t>LENOVO IDEAPAD 5 2IN1 14 TOUCH ULTRA 7 255U 16GB 512GB W11+OHS+M365B 14.0WUXGA PEN 2Y+2ADP LUNA GRY -63ID</t>
  </si>
  <si>
    <t>Brand: Lenovo | Tipe: IdeaPad 5 2-in-1 14IAL10 | Color: Luna Grey | Operating System: Windows 11 Home Single Language + Microsoft 365 Basic + Office Home 2024 | Processor: Intel Core Ultra 7 255U, 12 Cores (2P + 8E + 2 LP E-Cores), up to 5.2 GHz AI PC Category: Non AI PC NPU: Integrated Intel AI Boost, up to 12 TOPS | Graphics: Integrated Intel Graphics Chipset: Intel SoC Platform | RAM: 16 GB LPDDR5X-8000 Onboard Dual Channel | Storage: 512 GB SSD M.2 2242 PCIe 4.0 x4 NVMe | Main Display Size: 14 Inch | Main Display Type: IPS, Glossy, Touchscreen | Display Resolution: WUXGA 1920 x 1200, 300 nits, 45% NTSC, 60Hz | Camera: FHD 1080p + IR Camera with Privacy Shutter | Audio: Stereo speakers 2W x2 with Dolby Audio™ | Battery: 57 Wh Power Adapter: 65W USB-C | Connectivity: Wi-Fi 7, Bluetooth 5.4 | Ports: 2x USB-A 2x USB-C with Power Delivery and DisplayPort 1.4 1x HDMI 1.4b 1x Headphone / microphone combo jack 1x microSD card reader | Dimension: 313 x 227 x 17.5 mm | Weight: Starting at 1.6 kg | Warranty: Official Lenovo Warranty 1 Year + 2 Years ADP + 2 Years Premium Care</t>
  </si>
  <si>
    <t>https://www.agres.id/products/lenovo-ideapad-5-2in1-touch-ultra-7-255-16gb-512gb-w11ohsm365b-140wuxga-luna-gry-63id</t>
  </si>
  <si>
    <t>https://res.cloudinary.com/dbuug9eey/image/upload/v1770204259/products/zdvxaqggmohptx8g5qrn.jpg</t>
  </si>
  <si>
    <t>LENOVO IDEAPAD FLEX 5 14 TOUCH RYZEN 7 5825 16GB 512GB W11+OHS+M365B 14.0WUXGA PEN 2Y+ADP GRY -HWID</t>
  </si>
  <si>
    <t>LENOVO IDEAPAD FLEX 5</t>
  </si>
  <si>
    <t>12,999,000.00</t>
  </si>
  <si>
    <t>AMD Ryzen 7 5825U</t>
  </si>
  <si>
    <t>Brand: Lenovo | Tipe: IdeaPad | Color: Arctic Grey | Operating System: Windows 11 Home Single Language + Microsoft Office Home &amp; Student + Microsoft 365 Basic | Processor: AMD Ryzen 7 5825U, 8 Cores 16 Threads, up to 4.5 GHz | Graphics: Integrated AMD Radeon Graphics | RAM: 16 GB LPDDR4x 4266MHz Soldered | Storage: 512 GB SSD NVMe PCIe 4.0 | Main Display Size: 14 Inch | Main Display Type: IPS, Glossy, Touchscreen | Display Resolution: WUXGA 1920 x 1200, TÜV Low Blue Light | Camera: FHD 1080p Webcam with Privacy Shutter | Audio: Two built-in front facing stereo speakers with Dolby Audio | Battery: 52.5 Wh | Connectivity: Wi-Fi 6, Bluetooth 5.3 | Ports: 2x USB-A 1x USB-C 1x HDMI 1.4b 1x Headphone / microphone combo jack 1x SD card reader 1x Power port | Dimension: | Weight: 1.55 kg | Warranty: Official Lenovo Warranty 2 Years Premium Care + 2 Years Accidental Damage Protection</t>
  </si>
  <si>
    <t>https://www.agres.id/products/lenovo-ideapad-flex-5-14-touch-ryzen-7-5825-16gb-512gb-w11ohsm365b-140wuxga-pen-2yadp-gry--hwid</t>
  </si>
  <si>
    <t>https://res.cloudinary.com/dbuug9eey/image/upload/v1764904068/products/oopp91rxdh1gzmutxuei.jpg</t>
  </si>
  <si>
    <t>cpu amd performa tinggi grafis menengah multitasking lancar penyimpanan besar sedang layar sedang layar bagus resolusi standar cocok kerja</t>
  </si>
  <si>
    <t>lenovo ideapad flex 5 amd ryzen 7 5825u integrated radeon graphics grafis terintegrasi ram 16gb ssd 512gb layar 14.0 inch cpu performa tinggi menengah multitasking lancar penyimpanan besar sedang bagus resolusi standar cocok kerja kantor buka banyak tab aplikasi anti lelet coding programming programmer software analis data main game ringan valorant dota genshin impact esports edit video desain canva photoshop corel illustrator konten kreator cepat office kuliah presentasi</t>
  </si>
  <si>
    <t>LENOVO IDEAPAD SLIM 3 14 I3 1315 8GB 512GB W11+OHS+M365B 14.0FHD BLIT 2Y PREM+2ADP GRY -6FID</t>
  </si>
  <si>
    <t>LENOVO IDEAPAD SLIM 3</t>
  </si>
  <si>
    <t>8,449,000.00</t>
  </si>
  <si>
    <t>1.37 kg</t>
  </si>
  <si>
    <t>Brand: Lenovo | Tipe: IdeaPad Slim 3 | Color: Arctic Grey | Operating System: Windows 11 Home SL + Microsoft Office Home and Student 2024 + Microsoft 365 Basic | Processor: Intel Core i3-1315U, 6 Cores 8 Threads, up to 4.5 GHz | Graphics: Intel UHD Graphics | RAM: 8 GB LPDDR5 4800 MHz Onboard | Storage: 512 GB SSD M.2 PCIe 4.0 NVMe | Main Display Size: 14 Inch | Main Display Type: TN Anti Glare | Display Resolution: FHD 1920 x 1080 Brightness: 250 nits | Camera: HD 720p Webcam with Privacy Shutter | Audio: Dolby Audio Stereo Speakers 1.5 W x2 | Battery: 47 Wh Charger: 65 W Round Tip | Connectivity: Wi Fi 6 Bluetooth 5.2 | Ports: 2x USB 3.2 Gen 1 1x USB C with Power Delivery and DisplayPort 1x HDMI 1.4 1x Audio Jack 1x SD Card Reader 1x Power Port Keyboard: Backlit English Material: PC ABS | Dimension: | Weight: 1.37 kg | Warranty: Official Lenovo Warranty 2 Years Premium Care + 2 Years Accidental Damage Protection</t>
  </si>
  <si>
    <t>https://www.agres.id/products/lenovo-ideapad-slim-3-14-i3-1315-8gb-512gb-w11ohsm365b-140fhd-blit-2y-prem2adp-artic-gry-6fid</t>
  </si>
  <si>
    <t>https://res.cloudinary.com/dbuug9eey/image/upload/v1765878543/products/cwzckldndrhxmg52juye.jpg</t>
  </si>
  <si>
    <t>cpu intel performa dasar grafis ringan multitasking cukup penyimpanan besar ringan layar sedang layar standar resolusi standar mudah dibawa cocok office</t>
  </si>
  <si>
    <t>lenovo ideapad slim 3 intel core i3 1315u uhd graphics grafis terintegrasi ram 8gb ssd 512gb layar 14.0 inch cpu performa dasar ringan multitasking cukup penyimpanan besar sedang standar resolusi mudah dibawa cocok office nugas skripsi kuliah sekolah pelajar mahasiswa browsing internet zoom meeting nonton film youtube word excel presentasi ppt sering bepergian traveling mobilitas tinggi enteng tipis ke kampus nongkrong cafe travel murah tugas cepat</t>
  </si>
  <si>
    <t>LENOVO IDEAPAD SLIM 3 14 I5 13420H 16GB 512GB W11+OHS+M365B 14.0WUXGA IPS BLIT 2Y PREM+2ADP BLU -7DID/16</t>
  </si>
  <si>
    <t>11,999,000.00</t>
  </si>
  <si>
    <t>Brand: Lenovo | Tipe: IdeaPad Slim 3 | Color: Cosmic Blue | Operating System: Windows 11 Home Single Language + Microsoft Office Home 2024 + Microsoft 365 Basic | Processor: Intel Core i5 13420H, 8 Cores 12 Threads, up to 4.6 GHz | Graphics: Intel UHD Graphics | RAM: 16 GB DDR5 4800 (8 GB Soldered + 8 GB SODIMM) | Storage: 512 GB SSD M.2 2242 PCIe 4.0 NVMe (Upgradeable up to 2x M.2 2242 SSD) | Main Display Size: 14 Inch | Main Display Type: IPS Anti Glare | Display Resolution: WUXGA 1920 x 1200, 45% NTSC | Camera: HD 720p Webcam with Privacy Shutter | Audio: Dolby Audio Stereo Speaker 2W x2 | Battery: 50 Wh | Connectivity: Wi-Fi 6, Bluetooth 5.2 | Ports: 2x USB 3.2 Gen 1 1x USB-C 3.2 Gen 1 with Power Delivery and DisplayPort 1x HDMI 1.4 1x Audio Jack 1x SD Card Reader 1x Power Port | Dimension: | Weight: 1.39 kg Material: Aluminium Top PC ABS Bottom | Warranty: Official Lenovo Warranty 2 Years Premium Care</t>
  </si>
  <si>
    <t>https://www.agres.id/products/lenovo-ideapad-slim-3-14-i5-13420h-16gb-512gb-w11ohsm365b-140wuxga-ips-2y-prem2adp-blu-7did</t>
  </si>
  <si>
    <t>https://res.cloudinary.com/dbuug9eey/image/upload/v1764841564/products/nlsde8ikp4thhyyhuzsz.jpg</t>
  </si>
  <si>
    <t>lenovo ideapad slim 3 intel core i5 13420h uhd graphics grafis terintegrasi ram 16gb ssd 512gb layar 14.0 inch cpu performa menengah ringan multitasking lancar penyimpanan besar sedang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travel cepat</t>
  </si>
  <si>
    <t>LENOVO IDEAPAD SLIM 3 14 RYZEN 5 7535HS 8GB 512GB W11+OHS+M365B 14.0WUXGA IPS BLU 2Y PREM+2ADP BLU -5KID</t>
  </si>
  <si>
    <t>10,099,000.00</t>
  </si>
  <si>
    <t>Brand: Lenovo | Tipe: Ideapad Slim 3 | Color: Luna Grey | Operating System: Windows 11 Home Single Language + Microsoft Office Home 2024 + Microsoft 365 Basic | Processor: AMD Ryzen 5 7535HS, 6 Cores 12 Threads, up to 4.55 GHz | Graphics: AMD Radeon 660M | RAM: 8 GB DDR5 4800 Onboard (Upgradeable up to 24 GB) | Storage: 512 GB SSD M.2 PCIe 4.0 NVMe | Main Display Size: 14 Inch | Main Display Type: IPS Anti Glare | Display Resolution: WUXGA 1920 x 1200 Brightness: 300 nits | Camera: HD 720p with Privacy Shutter | Audio: Dolby Audio Stereo Speaker 2W x2 | Battery: 50 Wh Charger: 65W Round Tip | Connectivity: Wi-Fi 6, Bluetooth 5.3 | Ports: 2x USB 3.2 Gen 1 1x USB-C with Power Delivery and DisplayPort 1x HDMI 1.4 1x Audio Jack 1x SD Card Reader 1x Power Port Keyboard: Backlit English | Dimension: | Weight: 1.39 kg | Warranty: Official Warranty 2 Years Premium Care + 2 Years ADP</t>
  </si>
  <si>
    <t>https://www.agres.id/products/lenovo-ideapad-slim-3-14-ryzen-5-7535hs-8gb-512gb-w11ohsm365b-140wuxga-ips-blu-2y-prem2adp-5kid</t>
  </si>
  <si>
    <t>https://res.cloudinary.com/dbuug9eey/image/upload/v1764759906/products/qiibdrxptqapvzckkot5.jpg</t>
  </si>
  <si>
    <t>cpu amd performa menengah grafis menengah multitasking cukup penyimpanan besar ringan layar sedang layar bagus resolusi standar mudah dibawa</t>
  </si>
  <si>
    <t>lenovo ideapad slim 3 amd ryzen 5 7535hs radeon 660m ram 8gb ssd 512gb layar 14.0 inch cpu performa menengah grafis multitasking cukup penyimpanan besar ringan sedang bagus resolusi standar mudah dibawa nugas skripsi kuliah sekolah pelajar mahasiswa browsing internet zoom meeting nonton film youtube word excel presentasi ppt main game valorant dota genshin impact esports edit video desain canva photoshop corel illustrator konten kreator sering bepergian traveling mobilitas tinggi enteng tipis ke kampus nongkrong cafe travel tugas office dasar cepat</t>
  </si>
  <si>
    <t>LENOVO LEGION 5I 15 I7 13650HX RTX5050 8GB/ 16GB 512GB W11+OHS+M365B 15.3WUXGA 165HZ 100SRGB BLIT 3Y ULT+3ADP BLK -E9ID</t>
  </si>
  <si>
    <t>LENOVO LEGION 5I 15</t>
  </si>
  <si>
    <t>23,999,000.00</t>
  </si>
  <si>
    <t>Intel Core i7-13650HX</t>
  </si>
  <si>
    <t>Brand: Lenovo | Tipe: Legion 5I | Color: Eclipse Black | Operating System: Windows 11 Home Single Language + Microsoft Office Home &amp; Student + Microsoft 365 Basic | Processor: Intel Core i7-13650HX, 14 Cores 20 Threads, up to 4.9 GHz | Graphics: NVIDIA GeForce RTX 5050 8 GB GDDR7 | RAM: 16 GB DDR5 4800MHz (Up to 32 GB, 2x SODIMM) | Storage: 512 GB SSD NVMe PCIe 4.0 | Main Display Size: 15.3 Inch | Main Display Type: IPS, Anti Glare | Display Resolution: WUXGA 1920 x 1200, 165Hz, 100% sRGB, Dolby Vision | Camera: HD 720p Webcam with E Shutter | Audio: Two built-in stereo speakers with Nahimic Audio | Battery: 80 Wh | Connectivity: Wi-Fi 6, Bluetooth 5.2 | Ports: 3x USB-A 2x USB-C 1x HDMI 2.1 1x Headphone / microphone combo jack 1x Ethernet (RJ-45) 1x Power port | Dimension: | Weight: 2.1 kg | Warranty: Official Lenovo Warranty 3 Years Legion Ultimate Support + 3 Years Accidental Damage Protection</t>
  </si>
  <si>
    <t>https://www.agres.id/products/lenovo-legion-5i-15-i7-13650hx-rtx5050-8gb-16gb-512gb-w11ohsm365b-153wuxga-165hz-100srgb-blit-3y-ult3adp-blk--e9id</t>
  </si>
  <si>
    <t>https://res.cloudinary.com/dbuug9eey/image/upload/v1766060563/products/sl21hboqc45acujrayyv.jpg</t>
  </si>
  <si>
    <t>cpu intel performa tinggi gaming berat multitasking lancar penyimpanan besar berat layar sedang layar bagus resolusi standar cocok gaming cocok kerja</t>
  </si>
  <si>
    <t>lenovo legion 5i 15 intel core i7 13650hx nvidia geforce rtx 5050 ram 16gb ssd 512gb layar 15.3 inch cpu performa tinggi gaming berat multitasking lancar penyimpanan besar sedang bagus resolusi standar cocok kerja kantor buka banyak tab aplikasi anti lelet coding programming programmer software analis data gamer rata kanan gta cyberpunk render 3d autocad blender sketchup video editor profesional premiere pro after effects editing sultan premium mulus cepat office kuliah presentasi</t>
  </si>
  <si>
    <t>LENOVO LEGION 5I 15 OLED ULTRA 7 255HX RTX5060 8GB/ 32GB 512GB W11+OHS+M365B 15.1WQXGA 165HZ 24ZRGB 3Y+3ADP BLK -65ID</t>
  </si>
  <si>
    <t>28,999,000.00</t>
  </si>
  <si>
    <t>1.9 kg</t>
  </si>
  <si>
    <t>15,1 Inch</t>
  </si>
  <si>
    <t>Brand: Lenovo | Tipe: Legion 5I | Color: Eclipse Black | Operating System: Windows 11 Home Single Language + Microsoft Office Home and Student 2024 + Microsoft 365 Basic | Processor: Intel Core Ultra 7 255HX, 20 Cores, up to 5.2 GHz | Graphics: NVIDIA GeForce RTX 5060 8GB GDDR7 | RAM: 32 GB DDR5 5600 Dual Channel | Storage: 512 GB SSD M.2 PCIe 4.0 NVMe | Main Display Size: 15.1 Inch | Main Display Type: OLED | Display Resolution: WQXGA 2560 x 1600 Refresh Rate: 165Hz Color Gamut: 100 Percent DCI P3 Display Feature: Dolby Vision DisplayHDR True Black 600 Brightness: 500 nits typical 1000 nits peak | Camera: 5MP with E Shutter | Audio: HARMAN Stereo Speaker 2W x2 with Nahimic Audio | Battery: 80 Wh Charger: 245W Slim Tip | Connectivity: Wi-Fi 7, Bluetooth 5.4 | Ports: 2x USB 3.2 Gen 1 1x USB 3.2 Gen 1 Always On 1x USB-C USB 3.2 Gen 2 with Power Delivery and DisplayPort 2.1 1x USB-C Thunderbolt 4 1x HDMI 2.1 1x Audio Jack 1x Ethernet RJ45 1x Power Port Keyboard: 24 Zone RGB Backlit English | Dimension: | Weight: 1.9 kg | Warranty: Official Warranty 3 Years Legion Ultimate Support + 3 Years ADP</t>
  </si>
  <si>
    <t>https://www.agres.id/products/lenovo-legion-5i-15-oled-ultra-7-255hx-rtx5060-8gb-32gb-512gb-w11ohsm365b-151-wqxga-165hz-24zrgb-3y3adp-blk-65</t>
  </si>
  <si>
    <t>https://res.cloudinary.com/dbuug9eey/image/upload/v1764816285/products/qfhnmoa1p8gaaug2m1jw.jpg</t>
  </si>
  <si>
    <t>cpu intel performa tinggi gaming berat multitasking ekstrem penyimpanan besar sedang layar sedang layar oled resolusi tinggi cocok gaming cocok multimedia</t>
  </si>
  <si>
    <t>lenovo legion 5i 15 intel core ultra 7 255hx nvidia geforce rtx 5060 ram 32gb ssd 512gb layar 15.1 inch cpu performa tinggi gaming berat multitasking ekstrem penyimpanan besar sedang oled resolusi cocok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sultan premium mulus cepat lancar office kuliah presentasi</t>
  </si>
  <si>
    <t>LENOVO LEGION 7I 16 OLED ULTRA 9 275HX RTX5070 8GB/ 32GB 1TB W11+OHS+M365B 16.0WQXGA 165HZ PKRGB 3Y+3ADP WHITE -4EID</t>
  </si>
  <si>
    <t>LENOVO LEGION 7I 16</t>
  </si>
  <si>
    <t>38,499,000.00</t>
  </si>
  <si>
    <t>2 kg</t>
  </si>
  <si>
    <t>Brand: Lenovo | Tipe: LEGION 7I | Color: Glacier White | Operating System: Windows 11 Home Single Language + Microsoft 365 Basic + Office Home 2024 + Lenovo AI Now | Processor: Intel Core Ultra 9 275HX, 24 Cores (8P + 16E) / 24 Threads, Max Turbo up to 5.4GHz, 36MB Intel Smart Cache | Graphics: NVIDIA GeForce RTX 5070 8GB GDDR7, Boost Clock up to 2347MHz, TGP 115W | RAM: 32 GB DDR5-5600 (2x 16GB, Dual Channel, Upgradable) | Storage: 1 TB M.2 PCIe 4.0 NVMe SSD | Main Display Size: 16 Inch | Main Display Type: OLED, Glossy, 500 nits Typical 1100 nits Peak, 100% DCI-P3, 165Hz, DisplayHDR True Black 1000, Dolby Vision, G-SYNC, Low Blue Light, Flicker Free | Display Resolution: WQXGA 2560 x 1600 | Camera: 5.0MP + IR Webcam with E-shutter | Audio: Stereo Speakers 2W x2 by HARMAN with Nahimic Audio | Battery: 84 Wh Charger: 245 W Slim Tip | Connectivity: Wi-Fi 7 802.11be 2x2, Bluetooth 5.4 | Ports: 2x USB-A 5Gbps 1x USB-C 10Gbps with Power Delivery and DisplayPort 2.1 1x USB-C Thunderbolt 4 USB4 40Gbps with Power Delivery and DisplayPort 2.1 1x HDMI 2.1 1x Headphone / microphone combo jack 1x SD Card Reader 1x Slim Tip Power Connector | Dimension: 361.7 x 263.4 x 15.9-17.9 mm | Weight: Less than 2.0 kg | Warranty: 1 Year Courier or Carry-in + 3Y ADP + 3Y Legion Ultimate Support</t>
  </si>
  <si>
    <t>https://www.agres.id/products/lenovo-legion-7i-16-oled-ultra-9-275hx-rtx5070-8gb-32gb-1tb-w11ohsm365b-160-wqxga-165hz-pkrgb-3y3adp-white-4eid</t>
  </si>
  <si>
    <t>https://res.cloudinary.com/dbuug9eey/image/upload/v1767353254/products/iuxszk2ccch5e1wgvx1n.jpg</t>
  </si>
  <si>
    <t>cpu intel performa sangat tinggi gaming berat gaming extreme multitasking ekstrem penyimpanan sangat besar sedang layar besar layar oled resolusi tinggi cocok gaming cocok multimedia</t>
  </si>
  <si>
    <t>lenovo legion 7i 16 intel core ultra 9 275hx nvidia geforce rtx 5070 ram 32gb ssd 1tb layar 16.0 inch cpu performa sangat tinggi gaming berat extreme multitasking ekstrem penyimpanan besar sedang oled resolusi cocok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premium mulus cepat lancar office kuliah presentasi</t>
  </si>
  <si>
    <t>LENOVO LEGION PRO 5I 16 OLED ULTRA 7 255HX RTX5060 8GB/ 16GB 1TB W11+OHS+M365B 16.0WQXGA 165HZ 24ZRGB 3Y+3ADP -35ID</t>
  </si>
  <si>
    <t>LENOVO LEGION PRO 5I</t>
  </si>
  <si>
    <t>28,799,000.00</t>
  </si>
  <si>
    <t>2.43 kg</t>
  </si>
  <si>
    <t>Brand: Lenovo | Tipe: Legion | Color: Eclipse Black | Operating System: Windows 11 Home Single Language + Microsoft Office Home and Student + Microsoft 365 Basic | Processor: Intel Core Ultra 7 255HX, 20 Cores 20 Threads, Max Turbo up to 5.2 GHz | Graphics: NVIDIA GeForce RTX 5060 8GB GDDR7, Boost Clock up to 2497 MHz, TGP 115W | RAM: 16 GB DDR5 5600 (Up to 32 GB, 2x SODIMM) | Storage: 1 TB SSD M.2 PCIe 4.0 NVMe | Main Display Size: 16 Inch | Main Display Type: OLED, Glossy, DisplayHDR True Black 1000, Dolby Vision, G SYNC, 100% DCI P3 | Display Resolution: WQXGA 2560 x 1600, 165 Hz | Camera: 5.0 MP Camera with E Shutter | Audio: HARMAN Stereo Speaker 2W x2 with Nahimic Audio | Battery: 80 Wh | Connectivity: Wi-Fi 7, Bluetooth 5.4 | Ports: 2x USB-A USB 3.2 Gen 1 1x USB-A USB 3.2 Gen 2 Always On 1x USB-C USB 3.2 Gen 2 with Power Delivery and DisplayPort 2.1 1x USB-C Thunderbolt 4 USB4 40 Gbps with DisplayPort 2.1 1x HDMI 2.1 1x Audio Jack 1x Ethernet RJ-45 1x Power Connector | Dimension: | Weight: Around 2.43 kg | Warranty: 1 Year Official Warranty + 3 Years Legion Ultimate Support + 3 Years ADP Accidental Damage Protection</t>
  </si>
  <si>
    <t>https://www.agres.id/products/lenovo-legion-pro-5i-oled-ultra-7-255hx-rtx5060-8gb-16gb-1tb-w11ohsm365b-160-wqxga-165hz-24zrgb-3y3adp--35id</t>
  </si>
  <si>
    <t>https://res.cloudinary.com/dbuug9eey/image/upload/v1769574070/products/ihbaeu0a1d8qrwvfqd20.jpg</t>
  </si>
  <si>
    <t>lenovo legion pro 5i intel core ultra 7 255hx nvidia geforce rtx 5060 ram 16gb ssd 1tb layar 16.0 inch cpu performa tinggi gaming berat multitasking lancar penyimpanan sangat besar oled resolusi cocok kerja multimedia kantor buka banyak tab aplikasi anti lelet coding programming programmer software analis data gamer rata kanan gta cyberpunk render 3d autocad blender sketchup video editor profesional premiere after effects nonton netflix kualitas bioskop warna akurat manjakan mata desainer tajam editing nyaman sultan premium mulus cepat office kuliah presentasi</t>
  </si>
  <si>
    <t>LENOVO LEGION PRO 7I 16 OLED ULTRA 9 275HX RTX5090 24GB/ 32GB 1TB W11+OHS+M365B 16.0WQXGA 240HZ PKRGB 3Y+3ADP -90ID</t>
  </si>
  <si>
    <t>LENOVO LEGION PRO 7I</t>
  </si>
  <si>
    <t>70,499,000.00</t>
  </si>
  <si>
    <t>NVIDIA GeForce RTX 5090</t>
  </si>
  <si>
    <t>2.57 kg</t>
  </si>
  <si>
    <t>Brand: Lenovo | Tipe: Legion | Color: Eclipse Black | Operating System: Windows 11 Home Single Language + Microsoft Office Home 2024 + Microsoft 365 Basic | Processor: Intel Core Ultra 9 275HX, 24 Cores 24 Threads, up to 5.4 GHz | Graphics: NVIDIA GeForce RTX 5090 24 GB GDDR7 | RAM: 32 GB DDR5 6400 Dual Channel | Storage: 1 TB SSD M.2 PCIe 5.0 NVMe | Main Display Size: 16 Inch | Main Display Type: OLED, Glossy, 240 Hz, DisplayHDR True Black 1000 | Display Resolution: WQXGA 2560 x 1600 | Camera: 5 MP Camera with E Shutter | Audio: Nahimic Audio Quad Speaker System | Battery: 80 Wh | Connectivity: Wi-Fi 7, Bluetooth 5.4 | Ports: 2x USB-A USB 3.2 Gen 1 1x USB-A USB 3.2 Gen 2 1x USB-C USB 3.2 Gen 2 with Power Delivery and DisplayPort 2.1 1x Thunderbolt 4 USB4 1x HDMI 2.1 1x Audio Jack 1x Ethernet 2.5GbE 1x Power Port | Dimension: | Weight: 2.57 kg | Warranty: 3 Years Legion Ultimate Support + 3 Years ADP Accidental Damage Protection</t>
  </si>
  <si>
    <t>https://www.agres.id/products/lenovo-legion-pro-7i-16-oled-ultra-9-275hx-rtx5090-24gb-32gb-1tb-w11ohsm365b-160wqxga-240hz-pkrgb-3y3adp--90id</t>
  </si>
  <si>
    <t>https://res.cloudinary.com/dbuug9eey/image/upload/v1765879298/products/tea4oahtzn6mdkaawzq5.jpg</t>
  </si>
  <si>
    <t>cpu intel performa sangat tinggi gaming berat gaming extreme multitasking ekstrem penyimpanan sangat besar berat layar besar layar oled resolusi tinggi cocok gaming cocok multimedia</t>
  </si>
  <si>
    <t>lenovo legion pro 7i intel core ultra 9 275hx nvidia geforce rtx 5090 ram 32gb ssd 1tb layar 16.0 inch cpu performa sangat tinggi gaming berat extreme multitasking ekstrem penyimpanan besar oled resolusi cocok multimedia kantor buka banyak tab aplikasi anti lelet coding programming programmer software analis data gamer rata kanan gta cyberpunk render 3d autocad blender sketchup video editor profesional premiere after effects nonton netflix kualitas bioskop warna akurat manjakan mata desainer tajam editing nyaman sultan premium mulus cepat lancar office kuliah presentasi</t>
  </si>
  <si>
    <t>LENOVO LOQ 15 I7 13650HX RTX4050 6GB/ 16GB 512GB W11+OHS+M365B 15.6FHD 144HZ 100SRGB 4ZRGB 2Y PREM+2ADP GRY -ARID</t>
  </si>
  <si>
    <t>LENOVO LOQ 15 I7</t>
  </si>
  <si>
    <t>2.38 kg</t>
  </si>
  <si>
    <t>Brand: Lenovo | Tipe: LOQ | Color: Luna Grey | Operating System: Windows 11 Home Single Language + Microsoft Office Home &amp; Student + Microsoft 365 Basic | Processor: Intel Core i7-13650HX, 14 Cores, 20 Threads, up to 4.9 GHz | Graphics: NVIDIA GeForce RTX 4050 6 GB GDDR6 | RAM: 16 GB DDR5 4800 MHz (Up to 32 GB) | Storage: 512 GB SSD NVMe PCIe Gen 4 | Main Display Size: 15.6 Inch | Main Display Type: IPS Anti-Glare | Display Resolution: FHD 1920 x 1080, 144Hz, 100% sRGB | Camera: HD 720p Webcam with E-Shutter | Audio: Stereo speakers with Nahimic Audio | Battery: 60 Wh | Connectivity: Wi-Fi 6, Bluetooth 5.2 | Ports: 3x USB-A 1x USB-C 1x HDMI 2.1 1x Headphone / microphone combo jack 1x Ethernet (RJ-45) | Dimension: | Weight: Starting 2.38 kg | Warranty: Official Lenovo Warranty 2 Years Premium Care + 2 Years Accidental Damage Protection</t>
  </si>
  <si>
    <t>https://www.agres.id/products/lenovo-loq-15-i7-13650hx-rtx4050-6gb-16gb-512gb-w11ohsm365b-156fhd-144hz-100srgb-4zrgb-2y-prem2adp-gry-arid</t>
  </si>
  <si>
    <t>https://res.cloudinary.com/dbuug9eey/image/upload/v1766050233/products/zussgvme6pxgvf0lgbog.jpg</t>
  </si>
  <si>
    <t>lenovo loq 15 i7 intel core 13650hx nvidia geforce rtx 4050 ram 16gb ssd 512gb layar 15.6 inch cpu performa tinggi gaming berat multitasking lancar penyimpanan besar sedang bagus resolusi standar cocok kerja kantor buka banyak tab aplikasi anti lelet coding programming programmer software analis data gamer rata kanan gta cyberpunk render 3d autocad blender sketchup video editor profesional premiere pro after effects editing nyaman nonton multimedia mulus cepat office kuliah presentasi</t>
  </si>
  <si>
    <t>LENOVO LOQ 15 RYZEN 7 250 RTX5050 8GB/ 16GB 512GB W11+OHS+M365B 15.6FHD 144HZ 100SRGB 24ZRGB 2Y+2ADP GRY -74ID</t>
  </si>
  <si>
    <t>LENOVO LOQ 15 RYZEN</t>
  </si>
  <si>
    <t>19,499,000.00</t>
  </si>
  <si>
    <t>AMD Ryzen 7 250</t>
  </si>
  <si>
    <t>4 kg</t>
  </si>
  <si>
    <t>6 Inch</t>
  </si>
  <si>
    <t>Brand: Lenovo | Tipe: LENOVO LOQ 15 RYZEN | Color: Luna Grey Berat: 2 4 kg Material: PC ABS KONEKTIVITAS Wi Fi 6 plus Bluetooth 5 3 Port tersedia: 3x USB 3 2 Gen 1 1x USB C USB 3 2 Gen 2 PD DisplayPort 1x HDMI 2 1 1x Audio Jack 1x Ethernet RJ45 1x Power Port SOFTWARE Windows 11 Home Single Language Microsoft Office Home Student Microsoft 365 Basic Lenovo AI Now GARANSI RESMI 2 Tahun Premium Care Lenovo 2 Tahun ADP Accidental Damage Protection | Operating System: Windows 11 | Processor: AMD Ryzen 7 250 8C 16T hingga 5 1GHz dengan Ryzen AI 16 TOPS | Graphics: NVIDIA GeForce RTX 5050 8GB GDDR7 TGP 100W 440 AI TOPS | RAM: 16GB DDR5 5600 SODIMM dual channel capable upgrade hingga 32GB | Storage: 512GB SSD M 2 PCIe 4 0 NVMe dual slot upgrade | Main Display Size: 6 Inch | Main Display Type: IPS Anti Glare 144Hz 100 persen sRGB G SYNC Brightness: 300 nits Keyboard: 24 Zone RGB Backlit English | Display Resolution: FHD 1920 x 1080 | Camera: 5 0MP with E Shutter | Audio: Nahimic Audio Stereo Speaker 2W x2 | Battery: 60Wh Charger: 170W Slim Tip DESAIN Layar: 15 6 Inch FHD 1920 x 1080</t>
  </si>
  <si>
    <t>https://www.agres.id/products/lenovo-loq-15-ryzen-7-250-rtx5050-8gb-16gb-512gb-w11ohsm365b-156fhd-100srgb-2y2adp-gry-74id</t>
  </si>
  <si>
    <t>https://res.cloudinary.com/dbuug9eey/image/upload/v1765789548/products/t51dwmcc1asnlzuhjdzq.jpg</t>
  </si>
  <si>
    <t>gaming berat, editing video, render 3d, ringan, tipis, mudah dibawa, travel, menengah, layar mulus, gaming cepat, multitasking, lancar, kinerja cepat, boot cepat, loading cepat, office, kuliah, presentasi</t>
  </si>
  <si>
    <t>cpu amd performa tinggi gaming berat multitasking lancar penyimpanan besar berat layar compact layar bagus resolusi standar cocok gaming cocok kerja</t>
  </si>
  <si>
    <t>lenovo loq 15 ryzen amd 7 250 nvidia geforce rtx 5050 ram 16gb ssd 512gb layar 6.0 inch cpu performa tinggi gaming berat multitasking lancar penyimpanan besar compact bagus resolusi standar cocok kerja kantor buka banyak tab aplikasi anti lelet coding programming programmer software analis data gamer rata kanan gta cyberpunk render 3d autocad blender sketchup video editor profesional premiere pro after effects editing ringan tipis mudah dibawa travel mulus cepat office kuliah presentasi</t>
  </si>
  <si>
    <t>LENOVO THINKPAD E14 G7 ULTRA 5 226V 16GB 512GB W11PRO 14.0WUXGA 3/3/3 BLK -00ID</t>
  </si>
  <si>
    <t>LENOVO THINKPAD E14 G7</t>
  </si>
  <si>
    <t>21,999,000.00</t>
  </si>
  <si>
    <t>Integrated Intel Arc Graphics</t>
  </si>
  <si>
    <t>Intel Core Ultra 5 226V</t>
  </si>
  <si>
    <t>Brand: Lenovo | Tipe: ThinkPad E14 Gen 7 | Color: Black | Operating System: Windows 11 Pro English | Processor: Intel Core Ultra 5 226V 8C 4P + 4LPE 8T Up to 4.5GHz 8MB Intel Smart Cache | Graphics: Integrated Intel Arc Graphics 130V | RAM: 16GB LPDDR5X-8533 Soldered Not Upgradable | Storage: 512GB SSD M.2 PCIe 4.0x4 NVMe | Main Display Size: 14 Inch | Main Display Type: WUXGA IPS Anti-glare 300 nits 60Hz | Display Resolution: 1920 x 1200 | Camera: FHD 1080p + IR Hybrid with Privacy Shutter | Audio: Stereo Speakers 2W x2 Dolby Atmos Audio by HARMAN | Battery: 48Wh Charger: 65W USB-C | Connectivity: Intel Wi-Fi 6E AX211 802.11ax 2x2 + Bluetooth 5.3 | Ports: 2x USB-A 1x USB-C Thunderbolt™ 4 1x HDMI 2.1 1x Headphone / Microphone Combo Jack 1x Ethernet RJ-45 | Dimension: 313 x 220.3 x 19.7 mm | Weight: Starting at 1.32 kg | Warranty: 1 Year Courier or Carry-in + 3Y Premier Support</t>
  </si>
  <si>
    <t>https://www.agres.id/products/lenovo-thinkpad-e14-ultra-5-226v-16gb-512gb-w11pro-14wuxga-ips-60hz-blk-3y</t>
  </si>
  <si>
    <t>https://res.cloudinary.com/dbuug9eey/image/upload/v1772444479/products/ndws6nqycv2psewr6ofr.jpg</t>
  </si>
  <si>
    <t>ringan, tipis, mudah dibawa, travel, sultan, premium, multitasking, lancar, kinerja cepat, boot cepat, loading cepat</t>
  </si>
  <si>
    <t>cpu intel performa menengah grafis modern multitasking lancar penyimpanan besar ringan layar sedang layar bagus resolusi standar cocok kerja mudah dibawa</t>
  </si>
  <si>
    <t>lenovo thinkpad e14 g7 intel core ultra 5 226v integrated arc graphics grafis terintegrasi ram 16gb ssd 512gb layar 14.0 inch cpu performa menengah modern multitasking lancar penyimpanan besar ringan sedang bagus resolusi standar cocok kerja mudah dibawa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travel sultan premium cepat</t>
  </si>
  <si>
    <t>LENOVO THINKPAD E14 G7 ULTRA 7 255H 16GB 1TB W11PRO 14.0WUXGA 3/3/3 BLK -60ID</t>
  </si>
  <si>
    <t>26,799,000.00</t>
  </si>
  <si>
    <t>Integrated Intel Arc 140T Graphics</t>
  </si>
  <si>
    <t>Brand: Lenovo | Tipe: LENOVO THINKPAD E14 G7 | Color: Black Berat: 1.34 kg KONEKTIVITAS Wi-Fi 6E + Bluetooth 5.3 Port tersedia: 1x USB-A 3.2 Gen 1 1x USB-A 3.2 Gen 2 Always On 1x USB-C Thunderbolt 4 USB4 with Power Delivery and DisplayPort 1x HDMI 2.1 1x Audio Jack 1x Ethernet RJ45 SOFTWARE Windows 11 Pro GARANSI RESMI 3 Tahun Premier Support Upgrade from 1 Tahun Courier Carry In | Operating System: Windows 11 | Processor: Intel Core Ultra 7 255H 16C 16T up to 5.1GHz with Intel AI Boost NPU up to 13 TOPS | Graphics: Integrated Intel Arc 140T Graphics | RAM: 16GB DDR5-5600 SODIMM upgradable up to 64GB | Storage: 1TB SSD M.2 PCIe 4.0 NVMe Opal 2.0 dual slot support | Main Display Size: 14 Inch | Main Display Type: IPS Anti-Glare 45% NTSC 60Hz Brightness: 300 nits Keyboard: Backlit English | Display Resolution: WUXGA 1920 x 1200 | Camera: FHD 1080p IR Hybrid with Privacy Shutter | Audio: Dolby Atmos Stereo Speaker 2W x2 audio by HARMAN | Battery: 48Wh Charger: 65W USB-C DESAIN Layar: 14” WUXGA 1920 x 1200</t>
  </si>
  <si>
    <t>https://www.agres.id/products/lenovo-thinkpad-e14-g7-ultra-7-255h-16gb-1tb-140wuxga-w11pro-3y-ps-blk-60id</t>
  </si>
  <si>
    <t>gaming berat, editing video, render 3d, ringan, tipis, mudah dibawa, travel, sultan, premium, multitasking, lancar, kinerja cepat, boot cepat, loading cepat</t>
  </si>
  <si>
    <t>cpu intel performa tinggi grafis modern multitasking lancar penyimpanan sangat besar ringan layar sedang layar bagus resolusi standar cocok kerja mudah dibawa</t>
  </si>
  <si>
    <t>lenovo thinkpad e14 g7 intel core ultra 7 255h integrated arc 140t graphics grafis terintegrasi ram 16gb ssd 1tb layar 14.0 inch cpu performa tinggi modern multitasking lancar penyimpanan sangat besar ringan sedang bagus resolusi standar cocok kerja mudah dibawa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gaming berat editing render 3d travel sultan premium cepat</t>
  </si>
  <si>
    <t>LENOVO THINKPAD L13 G6 ULTRA 5 225U 16GB 512GB W11PRO 13.3WUXGA IPS 3Y PS BLK -33ID</t>
  </si>
  <si>
    <t>LENOVO THINKPAD L13 G6</t>
  </si>
  <si>
    <t>21,849,000.00</t>
  </si>
  <si>
    <t>1.21 kg</t>
  </si>
  <si>
    <t>Brand: Lenovo | Tipe: ThinkPad L13 Gen 6 | Color: Black | Operating System: Windows 11 Pro | Processor: Intel Core Ultra 5 225U 12 Cores 14 Threads up to 4.8 GHz with Intel AI Boost NPU up to 12 TOPS | Graphics: Integrated Intel Graphics | RAM: 16 GB LPDDR5X 7467 MHz Onboard Not Upgradable | Storage: 512 GB SSD M.2 PCIe 4.0 NVMe Opal 2.0 Upgradable up to 2 TB | Main Display Size: 13.3 Inch | Main Display Type: IPS Anti Glare 45 Percent NTSC DBEF5 | Display Resolution: WUXGA 1920 x 1200 Brightness: 400 nits | Camera: 5 MP plus IR Camera with Privacy Shutter | Audio: Dolby Atmos Stereo Speakers 2W x2 | Battery: 54.7 Wh Power Supply: 65 W USB C Slim GaN Charger | Connectivity: Wi Fi 6E Bluetooth 5.3 | Ports: 2x USB A 3.2 Gen 1 2x USB C Thunderbolt 4 USB4 Power Delivery and DisplayPort 1x HDMI 2.1 1x Audio Jack | Weight: 1.21 kg | Warranty: Official Lenovo Warranty 3 Years Premier Support Upgrade from 1 Year Courier Carry In</t>
  </si>
  <si>
    <t>https://www.agres.id/products/lenovo-thinkpad-l13-g6-ultra-5-225u-16gb-512gb-w11pro-133wuxga-ips-3y-ps-blk--33id</t>
  </si>
  <si>
    <t>https://res.cloudinary.com/dbuug9eey/image/upload/v1765865953/products/laqfmbfccuc1laeqcikj.jpg</t>
  </si>
  <si>
    <t>cpu intel performa menengah grafis ringan multitasking lancar penyimpanan sangat besar ringan layar compact layar bagus resolusi standar cocok kerja mudah dibawa cocok office</t>
  </si>
  <si>
    <t>lenovo thinkpad l13 g6 intel core ultra 5 225u integrated graphics grafis terintegrasi ram 16gb ssd 512gb layar 13.3 inch cpu performa menengah ringan multitasking lancar penyimpanan besar compact bagus resolusi standar cocok kerja mudah dibawa office nugas skripsi kuliah sekolah pelajar mahasiswa browsing internet zoom meeting nonton film youtube word excel presentasi ppt kantor buka banyak tab aplikasi anti lelet coding programming programmer software analis data sering bepergian traveling mobilitas tinggi enteng tipis ke kampus nongkrong cafe travel sultan premium cepat</t>
  </si>
  <si>
    <t>LENOVO THINKPAD X1 CARBON G13 AURA EDITION TOUCH ULTRA 7 258V 32GB 1TB W11PRO 14.0WUXGA 100SRGB 3Y PSP BLK</t>
  </si>
  <si>
    <t>LENOVO THINKPAD X1 CARBON</t>
  </si>
  <si>
    <t>43,499,000.00</t>
  </si>
  <si>
    <t>0.99 kg</t>
  </si>
  <si>
    <t>Brand: Lenovo | Tipe: ThinkPad X1 Carbon Gen 13 Aura Edition | Color: Black | Operating System: Windows 11 Pro | Processor: Intel Core Ultra 7 258V, 8 Cores (4P + 4 LP E-Cores), up to 4.8 GHz | Graphics: Integrated Intel Arc Graphics 140V | RAM: 32 GB LPDDR5X 8533 Soldered | Storage: 1 TB SSD NVMe PCIe 4.0 | Main Display Size: 14 Inch | Main Display Type: IPS Touchscreen Anti-glare | Display Resolution: WUXGA 1920 x 1200, 100% sRGB, 500 nits | Camera: FHD 1080p + IR Camera with Privacy Shutter | Audio: Stereo speakers with Dolby Atmos | Battery: 57 Wh Charger: 65 W USB C | Connectivity: Wi Fi 7, Bluetooth 5.4 | Ports: 2x USB A 2x Thunderbolt 4 USB C 1x HDMI 2.1 1x Headphone microphone combo jack | Dimension: 312.8 x 214.75 x 17.95 mm | Weight: 0.99 kg | Warranty: Official Lenovo Warranty 1 Year + 3 Years Premier Support Plus</t>
  </si>
  <si>
    <t>https://www.agres.id/products/lenovo-thinkpad-x1-carbon-g13-aura-edition-touch-ultra-7-258v-32gb-1tb-w11pro-140wuxga-100srgb-3y-psp-blk-1</t>
  </si>
  <si>
    <t>https://res.cloudinary.com/dbuug9eey/image/upload/v1770690687/products/l0jsu7c92oc4pdazvyhl.jpg</t>
  </si>
  <si>
    <t>cpu intel performa tinggi grafis modern multitasking ekstrem penyimpanan sangat besar ultra ringan layar sedang layar bagus resolusi standar mudah dibawa</t>
  </si>
  <si>
    <t>lenovo thinkpad x1 carbon intel core ultra 7 258v integrated arc graphics grafis terintegrasi ram 32gb ssd 1tb layar 14.0 inch cpu performa tinggi modern multitasking ekstrem penyimpanan sangat besar ringan sedang bagus resolusi standar mudah dibawa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gaming berat editing render 3d travel sultan premium lancar cepat</t>
  </si>
  <si>
    <t>LENOVO YOGA 7 2IN1 14 RYZEN AI 7 350 16GB 1TB W11+OHS+M365B 14.0WUXGA OLED PEN SLEEVE 3Y PREM+3ADP TEAL -9UID</t>
  </si>
  <si>
    <t>LENOVO YOGA 7 2IN1</t>
  </si>
  <si>
    <t>20,499,000.00</t>
  </si>
  <si>
    <t>Integrated AMD Radeon 860M</t>
  </si>
  <si>
    <t>Brand: Apple | Tipe: MacBook Air M4 | Color: Silver | Operating System: macOS | Processor: Apple M4 Chip, 10 Core CPU, 8 Core GPU | Graphics: Apple Integrated Graphics | RAM: 16 GB | Storage: 256 GB SSD | Main Display Size: 13.6 Inch | Main Display Type: IPS | Display Resolution: 2560 x 1664 | Camera: 12MP Center Stage Camera with Desk View, 1080p HD Video Recording | Audio: Four-speaker sound system with Dolby Atmos and Spatial Audio support, Three-microphone array | Battery: 53.8 Wh Charger: MagSafe | Connectivity: Wi-Fi 6E, Bluetooth 5.3 | Ports: 1x MagSafe 3 Charging Port 2x Thunderbolt 4 USB-C 1x Headphone Jack 3.5mm | Dimension: 30.41 x 21.5 x 1.13 cm | Weight: 1.24 kg | Warranty: Official Apple Warranty 1 Year</t>
  </si>
  <si>
    <t>https://www.agres.id/products/lenovo-yoga-7-2in1-14-ryzen-ai-7-350-16gb-1tb-w11ohsm365b-140wuxga-oled-pen-sleeve-3y-prem3adp-teal-9uid</t>
  </si>
  <si>
    <t>https://res.cloudinary.com/dbuug9eey/image/upload/v1767063685/products/hgtb1ldw4f5plmey8zil.jpg</t>
  </si>
  <si>
    <t>ringan, tipis, mudah dibawa, travel, sultan, premium, multitasking, lancar, kinerja cepat, boot cepat, loading cepat, office, kuliah, presentasi</t>
  </si>
  <si>
    <t>lenovo yoga 7 2in1 amd ryzen ai 350 integrated radeon 860m grafis terintegrasi ram 16gb ssd 1tb layar 14.0 inch cpu performa dasar ready menengah multitasking lancar penyimpanan sangat besar ringan sedang oled resolusi standar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travel sultan premium cepat office</t>
  </si>
  <si>
    <t>LENOVO YOGA 7 2IN1 14 ULTRA 5 226V 16GB 512GB W11+OHS+M365B 14.0WUXGA OLED PEN 3Y PREM+3ADP SEASHELL -7NID</t>
  </si>
  <si>
    <t>Intel Arc Graphics 130V</t>
  </si>
  <si>
    <t>Brand: Lenovo | Tipe: LENOVO YOGA 7 2IN1 | Color: Seashell Berat: 1.38 kg Material: Recycled Aluminium dan Silicone Vegan Leather KONEKTIVITAS Wi-Fi 7 + Bluetooth 5.4 Port tersedia: 1x USB A USB 3.2 Gen 1 Always On 2x USB C Thunderbolt 4 USB4 DisplayPort PD 30 1x HDMI 1.4b 1x Audio Jack 1x microSD Card Reader 1x Power Port SOFTWARE Windows 11 Home SL Microsoft Office Home 2024 Microsoft 365 Basic GARANSI RESMI 3 Tahun Premium Care 3 Tahun ADP | Operating System: Windows 11 | Processor: Intel Core Ultra 5 226V 8C 8T hingga 4.5GHz | Graphics: Intel Arc Graphics 130V | RAM: 16GB LPDDR5X 8533 onboard tidak dapat upgrade | Storage: 512GB SSD M.2 2242 PCIe 4.0 NVMe upgradable max 1TB | Main Display Size: 14 Inch | Main Display Type: OLED Glossy Anti Fingerprint 100 persen DCI P3 Pen: Lenovo Yoga Pen Brightness: 400 nits typical Keyboard: Backlit English | Display Resolution: WUXGA 1920 x 1200 | Camera: 5MP IR with Privacy Shutter | Audio: 4 stereo speaker 2W x2 woofer dan 2W x2 tweeter Dolby Atmos Smart AMP | Battery: 70Wh Charger: 65W USB C DESAIN Layar: 14 WUXGA 1920 x 1200 OLED Touch 400 nits typical 600 nits peak Dolby Vision True Black 500</t>
  </si>
  <si>
    <t>https://www.agres.id/products/lenovo-yoga-7-2in1-14-ultra-5-226v-16gb-512gb-w11ohsm365b-140wuxga-oled-pen-3y-prem3adp-seashell--7nid</t>
  </si>
  <si>
    <t>https://res.cloudinary.com/dbuug9eey/image/upload/v1764907787/products/jjtjdfo8ic3gaipnvcli.jpg</t>
  </si>
  <si>
    <t>lenovo yoga 7 2in1 intel core ultra 5 226v arc graphics 130v grafis terintegrasi ram 16gb ssd 512gb layar 14.0 inch cpu performa menengah modern multitasking lancar penyimpanan besar ringan sedang oled resolusi standar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gaming travel cepat office</t>
  </si>
  <si>
    <t>LENOVO YOGA 7 2IN1 14 ULTRA 7 155H 16GB 1TB W11+OHS+M365B 14.0 2.8K OLED 120HZ PEN 3Y PREM+3ADP TEAL -GGID</t>
  </si>
  <si>
    <t>20,899,000.00</t>
  </si>
  <si>
    <t>Brand: Lenovo | Tipe: Yoga 7 2-in-1 14IML9 | Color: Tidal Teal | Operating System: Windows 11 Home Single Language + Microsoft Office Home &amp; Student + Microsoft 365 Basic | Processor: Intel Core Ultra 7 155H with AI Boost, 16 Cores (6P + 8E + 2 LP E-Cores), up to 4.8 GHz | Graphics: Intel Arc Graphics | RAM: 16 GB LPDDR5X-7467 (Not Upgradable) | Storage: 1 TB SSD NVMe PCIe 4.0 | Main Display Size: 14 Inch | Main Display Type: OLED, Glossy Touch | Display Resolution: 2.8K 2880 x 1800, 100% DCI-P3, 120Hz, Dolby Vision, DisplayHDR™ True Black 500 | Camera: FHD 1080p + IR Camera with Privacy Shutter | Audio: Two built-in stereo speakers with Dolby Atmos | Battery: 71 Wh | Connectivity: Wi-Fi 6E, Bluetooth 5.3 | Ports: 2x USB-C Thunderbolt™ 4 1x USB-A 1x HDMI 2.1 1x Headphone / microphone combo jack 1x microSD card reader | Dimension: | Weight: 1.49 kg | Warranty: Official Lenovo Warranty 1 Year + ADP 3 Years + Premium Care 3 Years</t>
  </si>
  <si>
    <t>https://www.agres.id/products/lenovo-yoga-7-2in1-14-ultra-7-155h-16gb-1tb-w11ohsm365b-140-28k-oled-120hz-pen-3y-prem3adp-teal--ggid</t>
  </si>
  <si>
    <t>https://res.cloudinary.com/dbuug9eey/image/upload/v1766037077/products/c4kuvmw1lqxj9n1rwia7.jpg</t>
  </si>
  <si>
    <t>cpu intel performa tinggi grafis modern multitasking lancar penyimpanan sangat besar ringan layar sedang layar oled resolusi tinggi cocok kerja mudah dibawa cocok multimedia</t>
  </si>
  <si>
    <t>lenovo yoga 7 2in1 intel core ultra 155h arc graphics grafis terintegrasi ram 16gb ssd 1tb layar 14.0 inch cpu performa tinggi modern multitasking lancar penyimpanan sangat besar ringan sedang oled resolusi cocok kerja mudah dibawa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travel sultan premium mulus cepat office kuliah presentasi</t>
  </si>
  <si>
    <t>LENOVO YOGA 7 2IN1 14 ULTRA 7 256V 16GB 1TB W11+OHS 14.0 2.8K OLED 120HZ PEN 3Y PREM+3ADP SEASHELL -3WID</t>
  </si>
  <si>
    <t>22,899,000.00</t>
  </si>
  <si>
    <t>Brand: Lenovo | Tipe: Yoga 7 2-in-1 | Color: Seashell | Operating System: Windows 11 Home Single Language Office: Office Home &amp; Student | Warranty: 1 Year Base Warranty + 3 Years ADP + 3 Years Premium Care | Processor: Intel Core Ultra 7 256V (8 Cores 4P + 4LPE, 8 Threads, up to 4.8GHz, 12MB Cache) AI PC Category: Copilot+ PC NPU: Integrated Intel AI Boost up to 47 TOPS | Graphics: Integrated Intel Arc Graphics 140V Chipset: Intel SoC Platform | RAM: 16GB LPDDR5X-8533 (Soldered, Dual Channel, MoP Memory) Max Memory: 16GB (Not Upgradable) | Storage: 1TB SSD M.2 2242 PCIe 4.0 x4 NVMe Storage Slot: 1x M.2 2242 PCIe 4.0 x4 Max Storage Sup | Main Display Size: 14 Inch | Main Display Type: 2.8K OLED Touchscreen | Display Resolution: 2.8K 2880 x 1800 Refresh Rate: 120Hz Brightness: 1100 nits Peak / 500 nits Typical Color Gamut: 100% DCI-P3 Display Features: Dolby Vision, TÜV Low Blue Light, DisplayHDR True Black 1000 | Camera: 5.0MP + IR Camera with Privacy Shutter (Windows Hello) | Audio: Quad Stereo Speakers with Dolby Atmos (2W x2 Woofers + 2W x2 Tweeters) Microphone: Quad Array Microphones Keyboard: Backlit Keyboard (English) Touchpad: Buttonless Glass-like Precision TouchPad | Battery: 70 Wh Power Adapter: 65 W USB-C Adapter | Connectivity: Wi-Fi 7 802.11be 2x2 + Bluetooth 5.4 | Ports: Up to 1TB M.2 2242 SSD</t>
  </si>
  <si>
    <t>https://www.agres.id/products/lenovo-yoga-7-2in1-14-ultra-7-256v-16gb-1tb-w11ohs-140-28k-oled-120hz-pen-3y-prem3adp-seashell--3wid</t>
  </si>
  <si>
    <t>https://res.cloudinary.com/dbuug9eey/image/upload/v1767080263/products/fnesexhzb3q4jt7emmke.jpg</t>
  </si>
  <si>
    <t>lenovo yoga 7 2in1 intel core ultra 256v integrated arc graphics grafis terintegrasi ram 16gb ssd 1tb layar 14.0 inch cpu performa tinggi modern multitasking lancar penyimpanan sangat besar ringan sedang oled resolusi cocok kerja mudah dibawa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travel sultan premium mulus cepat office kuliah presentasi</t>
  </si>
  <si>
    <t>LENOVO YOGA 7 2IN1 14 ULTRA 7 256V 16GB 1TB W11+OHS+M365B 14.0 2.8K OLED 120HZ PEN 3Y PREM+3ADP SEASHELL -7DID</t>
  </si>
  <si>
    <t>Intel Arc Graphics 140V</t>
  </si>
  <si>
    <t>Brand: Lenovo | Tipe: Yoga 7 2 in 1 | Color: Seashell | Operating System: Windows 11 Home Single Language + Microsoft Office Home + Microsoft 365 Basic | Processor: Intel Core Ultra 7 256V, 8 Cores, up to 4.8 GHz | Graphics: Intel Arc Graphics 140V | RAM: 16 GB LPDDR5X 8533 MHz Onboard Not Upgradable | Storage: 1 TB SSD M.2 2242 PCIe 4.0 NVMe | Main Display Size: 14 Inch | Main Display Type: 2.8K OLED Touchscreen | Display Resolution: 2880 x 1800 Refresh Rate: 120 Hz Brightness: 500 nits Typical 1100 nits Peak Color Sup | Camera: 5 MP IR Camera with Privacy Shutter | Audio: Dolby Atmos Stereo Speakers 2W x4 Smart AMP | Battery: 70 Wh Power Supply: 65 W USB C Charger | Connectivity: Wi Fi 7 Bluetooth 5.4 | Ports: 100 Percent DCI P3 Dolby Vision HDR True Black 1000</t>
  </si>
  <si>
    <t>https://www.agres.id/products/lenovo-yoga-7-2in1-14-ultra-7-256v-16gb-1tb-w11ohsm365b-140-28k-oled-120hz-pen-3y-prem3adp-seashell--7did</t>
  </si>
  <si>
    <t>https://res.cloudinary.com/dbuug9eey/image/upload/v1772595129/products/o8t7rvrffq0gmfydotov.jpg</t>
  </si>
  <si>
    <t>gaming berat, editing video, render 3d, gaming ringan, esports, ringan, tipis, mudah dibawa, travel, sultan, premium, layar mulus, gaming cepat, multitasking, lancar, kinerja cepat, boot cepat, loading cepat, office, kuliah, presentasi</t>
  </si>
  <si>
    <t>lenovo yoga 7 2in1 intel core ultra 256v arc graphics 140v grafis terintegrasi ram 16gb ssd 1tb layar 14.0 inch cpu performa tinggi modern multitasking lancar penyimpanan sangat besar ringan sedang oled resolusi cocok kerja mudah dibawa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travel sultan premium mulus cepat office kuliah presentasi</t>
  </si>
  <si>
    <t>LENOVO YOGA BOOK 9 ULTRA 9 285H 32GB 1TB W11+OHS+M365 2 X 14.0 2.8K WQXGA+ OLED 120HZ (BOX KB+MOU+SLE) 3Y+3ADP TIDAL TEAL -25ID</t>
  </si>
  <si>
    <t>LENOVO YOGA BOOK 9</t>
  </si>
  <si>
    <t>38,999,000.00</t>
  </si>
  <si>
    <t>Intel Arc 140T Integrated Graphics</t>
  </si>
  <si>
    <t>1.22 kg</t>
  </si>
  <si>
    <t>Brand: Lenovo | Tipe: Yoga Book 9 | Color: Tidal Teal | Operating System: Windows 11 Home Single Language + Microsoft Office Home &amp; Student + Microsoft 365 Basic | Processor: Intel Core Ultra 9 285H, 16 Cores (6P + 8E + 2 LPE), up to 5.4 GHz with Intel AI Boost | Graphics: Intel Arc 140T Integrated Graphics | RAM: 32 GB LPDDR5X 8400 MHz Onboard Dual Channel Not Upgradable | Storage: 1 TB SSD M.2 2242 PCIe 4.0 NVMe | Main Display Size: Dual Screen 14 Inch | Main Display Type: OLED Touchscreen | Display Resolution: 2.8K 2880 x 1800 Refresh Rate: 120 Hz Brightness: 500 nits Typical 750 nits Peak Color Sup | Camera: 5 MP plus IR Camera with E Shutter Windows Hello | Audio: Dolby Atmos Quad Speakers 2W x4 Smart Amplifier | Battery: 88 Wh Power Supply: 65 W USB C Slim Adapter | Connectivity: Wi Fi 7 Bluetooth 5.4 | Ports: 100 Percent DCI P3 HDR True Black 600 Dolby Vision Anti Fingerprint</t>
  </si>
  <si>
    <t>https://www.agres.id/products/lenovo-yoga-book-9-ultra-9-285h-32gb-1tb-w11ohsm365-2-x-140-28k-wqxga-oled-120hz-box-kbmousle-3y3adp-tidal-teal--25id</t>
  </si>
  <si>
    <t>https://res.cloudinary.com/dbuug9eey/image/upload/v1764910118/products/rv9lgb18pd26uffyhthl.jpg</t>
  </si>
  <si>
    <t>lenovo yoga book 9 intel core ultra 285h arc 140t integrated graphics grafis terintegrasi ram 32gb ssd 1tb layar 14.0 inch cpu performa sangat tinggi modern multitasking ekstrem penyimpanan besar ringan sedang oled resolusi mudah dibawa cocok multimedia kantor buka banyak tab aplikasi anti lelet coding programming programmer software analis data main game valorant dota genshin impact esports edit video desain canva photoshop corel illustrator konten kreator sering bepergian traveling mobilitas enteng tipis ke kampus nongkrong cafe nonton netflix kualitas bioskop warna akurat manjakan mata desainer tajam gaming berat editing render 3d travel sultan premium mulus cepat lancar office kuliah presentasi</t>
  </si>
  <si>
    <t>LENOVO YOGA SLIM 7 14 TOUCH ULTRA 5 125H 16GB 512GB W11+OHS+M365B 14.0WUXGA OLED EVO 3Y PREM+3ADP GRY -DMID</t>
  </si>
  <si>
    <t>LENOVO YOGA SLIM 7</t>
  </si>
  <si>
    <t>Intel Core Ultra 5 125H</t>
  </si>
  <si>
    <t>1.43 kg</t>
  </si>
  <si>
    <t>Brand: Lenovo | Tipe: Yoga Slim 7 | Color: Luna Grey | Operating System: Windows 11 Home Single Language + Microsoft 365 Basic + Office Home &amp; Student | Processor: Intel Core Ultra 5 125H, 14C (4P + 8E + 2LPE) / 18T, Max Turbo up to 4.5GHz, 18MB Intel Smart Cache | Graphics: Integrated Intel Arc Graphics | RAM: 16 GB LPDDR5-6400 Soldered | Storage: 512 GB SSD M.2 2242 PCIe 4.0 x4 NVMe | Main Display Size: 14 Inch | Main Display Type: OLED, Glossy, Touch | Display Resolution: WUXGA 1920 x 1200 | Camera: FHD 1080p + IR with E-shutter and ToF Sensor | Audio: Stereo speakers 2W x4, optimized with Dolby Atmos | Battery: 65 Wh Power Adapter: 65W USB-C Slim Keyboard: Backlit | Connectivity: Wi-Fi 6E, Bluetooth 5.3 | Ports: 1x USB-A (USB 5Gbps / USB 3.2 Gen 1) Always On 2x USB-C Thunderbolt™ 4 with USB PD 45-65W and DisplayPort™ 1.4 1x HDMI 2.1 up to 4K/60Hz 1x Headphone / microphone combo jack (3.5mm) Dimensions: 312 x 221 x 14.9 mm | Weight: Starting at 1.43 kg | Warranty: 1 Year Base Warranty + 3 Years ADP + 3 Years Premium Care</t>
  </si>
  <si>
    <t>https://www.agres.id/products/lenovo-yoga-slim-7-14-touch-ultra-5-125h-16gb-512gb-w11ohsm365b-140wuxga-oled-evo-3y-prem3adp-gry-dmid</t>
  </si>
  <si>
    <t>https://res.cloudinary.com/dbuug9eey/image/upload/v1766060813/products/fwablzpz6i5voyfgskeg.jpg</t>
  </si>
  <si>
    <t>cpu intel performa menengah grafis modern multitasking lancar penyimpanan besar ringan layar sedang layar oled resolusi standar cocok kerja mudah dibawa cocok multimedia</t>
  </si>
  <si>
    <t>lenovo yoga slim 7 intel core ultra 5 125h integrated arc graphics grafis terintegrasi ram 16gb ssd 512gb layar 14.0 inch cpu performa menengah modern multitasking lancar penyimpanan besar ringan sedang oled resolusi standar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travel cepat office</t>
  </si>
  <si>
    <t>LENOVO YOGA SLIM 7 AURA EDITION 14 ULTRA 5 226V 16GB 512GB W11+OHS+M365B 14.0WUXGA OLED EVO 3Y PREM+3ADP SEASHELL -AWID</t>
  </si>
  <si>
    <t>16,899,000.00</t>
  </si>
  <si>
    <t>1.19 kg</t>
  </si>
  <si>
    <t>Brand: Lenovo | Tipe: Yoga Slim 7 14ILL10 | Color: Seashell | Operating System: Windows 11 Home + Microsoft Office Home &amp; Student + Microsoft 365 Basic | Processor: Intel Core Ultra 5 226V with AI Boost, 8 Cores (4P + 4 LP E-Cores), up to 4.5 GHz | Graphics: Intel Arc Graphics 130V | RAM: 16 GB LPDDR5X (Not Upgradable) | Storage: 512 GB SSD NVMe | Main Display Size: 14 Inch | Main Display Type: OLED, Glossy | Display Resolution: WUXGA 1920 x 1200, 100% DCI-P3 | Camera: 5.0MP + IR Camera | Audio: Four built-in stereo speakers with Dolby Atmos | Battery: 70 Wh | Connectivity: Wi-Fi 7, Bluetooth 5.4 | Ports: 1x USB-A 2x USB-C 1x HDMI 2.1 1x Headphone / microphone combo jack 1x microSD card reader | Dimension: | Weight: 1.19 kg | Warranty: Official Lenovo Warranty 1 Year + Premium Care 3 Years</t>
  </si>
  <si>
    <t>https://www.agres.id/products/lenovo-yoga-slim-7-aura-edition-ultra-5-226v-16gb-512gb-w11ohsm365b-140wuxga-oled-evo-3y-prem3adp-seashell-awid</t>
  </si>
  <si>
    <t>https://res.cloudinary.com/dbuug9eey/image/upload/v1768899504/products/zkivzxxaw0tzdcm4niy7.jpg</t>
  </si>
  <si>
    <t>cpu intel performa menengah grafis modern multitasking lancar penyimpanan besar ultra ringan layar sedang layar oled resolusi standar cocok kerja mudah dibawa cocok multimedia</t>
  </si>
  <si>
    <t>lenovo yoga slim 7 intel core ultra 5 226v arc graphics 130v grafis terintegrasi ram 16gb ssd 512gb layar 14.0 inch cpu performa menengah modern multitasking lancar penyimpanan besar ringan sedang oled resolusi standar cocok kerja mudah dibawa multimedia nugas skripsi kuliah sekolah pelajar mahasiswa browsing internet zoom meeting nonton film youtube word excel presentasi ppt kantor buka banyak tab aplikasi anti lelet coding programming programmer software analis data main game valorant dota genshin impact esports edit video desain canva photoshop corel illustrator konten kreator sering bepergian traveling mobilitas tinggi enteng tipis ke kampus nongkrong cafe netflix kualitas bioskop warna akurat manjakan mata desainer tajam travel cepat office</t>
  </si>
  <si>
    <t>MSI CROSSHAIR A16 HX RYZEN 9 7945HX RTX5070 8GB/ 16GB 512GB W11+OHS 16.0WQXGA 240HZ 100DCIP3 24ZRGB 2Y+ADP GRY -D7WGKG.047</t>
  </si>
  <si>
    <t>MSI CROSSHAIR A16 HX</t>
  </si>
  <si>
    <t>MSI</t>
  </si>
  <si>
    <t>26,999,000.00</t>
  </si>
  <si>
    <t>AMD Ryzen 9 7945HX</t>
  </si>
  <si>
    <t>Brand: MSI | Tipe: Crosshair A16 | Color: Grey | Operating System: Windows 11 Home + Microsoft Office Home &amp; Student | Processor: AMD Ryzen 9 7945HX Processor, 16 Cores 32 Threads, up to 5.4 GHz | Graphics: NVIDIA GeForce RTX 5070 8GB Laptop GPU, AMD Radeon Graphics | RAM: 16 GB DDR5 | Storage: 512 GB SSD NVMe PCIe | Main Display Size: 16 Inch | Main Display Type: IPS-level Panel, Anti-glare | Display Resolution: WQXGA 2560 x 1600, 16:10, 240 Hz, 100% DCI-P3 | Camera: HD Webcam | Audio: Built-in stereo speakers, Built-in microphone | Battery: Li-ion Battery Charger: AC Adapter | Connectivity: Wi-Fi 6E, Bluetooth | Ports: 2x USB-A 1x USB-C 1x HDMI 1x RJ45 LAN 1x Headphone / microphone combo jack 1x DC-in | Dimension: 359 x 266 x 27 mm | Weight: 2.4 kg | Warranty: Official MSI Warranty 2 Years + Accidental Damage Protection</t>
  </si>
  <si>
    <t>https://www.agres.id/products/msi-crosshair-a16-hx-ryzen-9-7945hx-rtx5070-8gb-16gb-512gb-w11ohs-160qhd-240hz-100dcip3-24zrgb-2yadp-gry-d7wgkg047</t>
  </si>
  <si>
    <t>https://res.cloudinary.com/dbuug9eey/image/upload/v1766206786/products/gefbnmz2p51ctbejwlbi.jpg</t>
  </si>
  <si>
    <t>cpu amd performa sangat tinggi gaming berat gaming extreme multitasking lancar penyimpanan besar berat layar besar layar bagus resolusi tinggi cocok gaming cocok kerja cocok multimedia</t>
  </si>
  <si>
    <t>msi crosshair a16 hx amd ryzen 9 7945hx nvidia geforce rtx 5070 ram 16gb ssd 512gb layar 16.0 inch cpu performa sangat tinggi gaming berat extreme multitasking lancar penyimpanan besar bagus resolusi cocok kerja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premium mulus cepat office kuliah presentasi</t>
  </si>
  <si>
    <t>MSI KATANA 15 HX I7 14650HX RTX5050 8GB/ 16GB 512GB W11+OHS 15.6QHD 165HZ 100DCIP3 4ZRGB 2Y+ADP BLK -B14WEK.087</t>
  </si>
  <si>
    <t>MSI KATANA 15 HX</t>
  </si>
  <si>
    <t>2.25 kg</t>
  </si>
  <si>
    <t>QHD 2560 x 1440</t>
  </si>
  <si>
    <t>Brand: MSI | Tipe: Katana 15 HX | Color: Black | Operating System: Windows 11 Home + Microsoft Office Home &amp; Student | Processor: Intel Core i7-14650HX, 16 Cores, 24 Threads, up to 5.2 GHz | Graphics: NVIDIA GeForce RTX 5050 Laptop GPU 8GB GDDR6 + Intel UHD Graphics | RAM: 8 GB DDR5 Onboard + 8 GB DDR5 SO-DIMM | Storage: 512 GB M.2 NVMe™ PCIe 4.0 SSD | Main Display Size: 15.6 Inch | Main Display Type: IPS-Level, LED Backlit, Anti-Glare, 165Hz, 100% DCI-P3 | Display Resolution: QHD 2560 x 1440 | Camera: HD Camera | Audio: Built-in Speaker, Built-in Array Microphone | Battery: 53.5 Whrs 3-Cell Li-ion Charger: 200 W AC Adapter | Connectivity: Wi-Fi 6E (802.11ax) 2x2, Bluetooth 5.3 | Ports: 1x USB 3.2 Gen 2 Type-C 2x USB 3.2 Gen 1 Type-A 1x USB 2.0 Type-A 1x HDMI 2.1 1x Headphone / microphone combo jack 1x DC-in | Dimension: 359 x 259 x 24.9 mm | Weight: 2.25 kg | Warranty: 2 Years Official Warranty + ADP</t>
  </si>
  <si>
    <t>https://www.agres.id/products/msi-katana-15-hx-i7-14650hx-rtx5050-8gb-16gb-512gb-w11ohs-156qhd-165hz-100dcip3-4zrgb-2yadp-black</t>
  </si>
  <si>
    <t>https://res.cloudinary.com/dbuug9eey/image/upload/v1766218691/products/z1f9doced6bem1okhpmb.jpg</t>
  </si>
  <si>
    <t>gaming berat, editing video, render 3d, layar besar, nyaman nonton, multimedia, sultan, premium, layar mulus, gaming cepat, tugas ringan, office dasar, boot cepat, loading cepat, office, kuliah, presentasi</t>
  </si>
  <si>
    <t>cpu intel performa tinggi gaming berat multitasking cukup penyimpanan besar berat layar sedang layar bagus resolusi tinggi cocok gaming cocok multimedia</t>
  </si>
  <si>
    <t>msi katana 15 hx intel core i7 14650hx nvidia geforce rtx 5050 ram 8gb ssd 512gb layar 15.6 inch cpu performa tinggi gaming berat multitasking cukup penyimpanan besar sedang bagus resolusi cocok multimedia nugas skripsi kuliah sekolah pelajar mahasiswa browsing internet zoom meeting nonton film youtube word excel presentasi ppt kantor buka banyak tab aplikasi anti lelet coding programming programmer software analis data gamer rata kanan gta cyberpunk render 3d autocad blender sketchup video editor profesional premiere pro after effects netflix kualitas bioskop warna akurat manjakan mata desainer tajam editing nyaman sultan premium mulus cepat tugas ringan office dasar</t>
  </si>
  <si>
    <t>MSI KATANA 15 HX I7 14650HX RTX5060 8GB/ 16GB 512GB W11+OHS 15.6QHD 165HZ 100DCIP3 4ZRGB 2Y+ADP BLK -B14WFK.092</t>
  </si>
  <si>
    <t>Intel Core i9 HX</t>
  </si>
  <si>
    <t>Brand: MSI | Tipe: KATANA 15 HX | Color: Black | Operating System: Windows 11 Home + Microsoft Office Home &amp; Student | Processor: Intel Core i9 HX Series 14th Gen | Graphics: NVIDIA GeForce RTX 5060 Laptop GPU 8GB GDDR7 | RAM: 16 GB DDR5 5600 MHz (Upgradeable to 96 GB, 2 Slots) | Storage: 1x M.2 NVMe PCIe Gen4 512 GB SSD Slot | Main Display Size: 15.6 Inch | Main Display Type: IPS-Level, 144Hz / 165Hz | Display Resolution: FHD 1920 x 1080 / QHD 2560 x 1440 | Camera: HD 720p Webcam | Audio: 2x 2W Speakers | Battery: 75 Wh 4-Cell Charger: 240 W Adapter | Connectivity: Wi-Fi 6E 802.11ax, Bluetooth 5.3, Gigabit LAN | Ports: 1x USB Type-C USB 3.2 Gen2 (DisplayPort / Power Delivery 3.0) 3x USB Type-A USB 3.2 Gen2 1x HDMI 2.1 (8K 60Hz / 4K 120Hz) 1x Headphone / microphone combo jack | Dimension: 359 x 262 x 25.5 mm | Weight: 2.4 kg | Warranty: Official MSI Warranty 2 Years</t>
  </si>
  <si>
    <t>https://www.agres.id/products/msi-katana-15-hx-i7-14650hx-rtx5060-8gb-16gb-512gb-w11ohs-156qhd-165hz-100dcip3-4zrgb-2yadp-black</t>
  </si>
  <si>
    <t>https://res.cloudinary.com/dbuug9eey/image/upload/v1779003856/products/syhyvwwllkpj0zefzr3k.jpg</t>
  </si>
  <si>
    <t>gaming berat, editing video, render 3d, layar besar, nyaman nonton, multimedia, sultan, premium, layar mulus, gaming cepat, boot cepat, loading cepat, office, kuliah, presentasi</t>
  </si>
  <si>
    <t>cpu intel performa sangat tinggi gaming berat multitasking lancar berat layar sedang layar bagus resolusi tinggi cocok gaming cocok kerja cocok multimedia</t>
  </si>
  <si>
    <t>msi katana 15 hx intel core i9 nvidia geforce rtx 5060 ram 16gb ssd 512gb layar 15.6 inch cpu performa sangat tinggi gaming berat multitasking lancar penyimpanan besar sedang bagus resolusi cocok kerja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premium mulus cepat office kuliah presentasi</t>
  </si>
  <si>
    <t>MSI MODERN 14 I3 1315 8GB 512GB W11 14.0FHD BLIT IPS 2Y GRY -F13MG.818</t>
  </si>
  <si>
    <t>MSI MODERN 14 I3</t>
  </si>
  <si>
    <t>Brand: MSI | Tipe: Modern 14 | Color: Platinum Gray | Operating System: Windows 11 Home | Processor: Intel Core i3-1315U, 6 Cores (2P + 4E), up to 4.5 GHz | Graphics: Intel UHD Graphics | RAM: 8 GB DDR4 (Upgradeable up to 64 GB, 2 Slots) | Storage: 512 GB SSD NVMe PCIe Gen4 | Main Display Size: 14 Inch | Main Display Type: IPS-Level | Display Resolution: FHD 1920 x 1080 | Camera: HD Webcam 720p | Audio: 2x 2W Speakers, Hi-Res Audio | Battery: 46.8 Wh Charger: 65 W Adapter | Connectivity: Wi-Fi 6E, Bluetooth 5.3 | Ports: 3x USB-A 1x USB-C (DisplayPort, Power Delivery) 1x HDMI 1x Headphone / microphone combo jack 1x microSD card reader 1x RJ-45 Ethernet | Dimension: 323.9 x 217.2 x 19.9 mm | Weight: 1.5 kg | Warranty: Official MSI Warranty 2 Years</t>
  </si>
  <si>
    <t>https://www.agres.id/products/msi-modern-14-i3-1315-8gb-512gb-w11-140fhd-blit-ips-2y-gry-f13mg818</t>
  </si>
  <si>
    <t>https://res.cloudinary.com/dbuug9eey/image/upload/v1775875081/products/h0zcvolv7uon8phm1aql.jpg</t>
  </si>
  <si>
    <t>msi modern 14 i3 intel core 1315u uhd graphics grafis terintegrasi ram 8gb ssd 512gb layar 14.0 inch cpu performa dasar ringan multitasking cukup penyimpanan besar sedang bagus resolusi standar mudah dibawa cocok office nugas skripsi kuliah sekolah pelajar mahasiswa browsing internet zoom meeting nonton film youtube word excel presentasi ppt sering bepergian traveling mobilitas tinggi enteng tipis ke kampus nongkrong cafe murah tugas cepat</t>
  </si>
  <si>
    <t>MSI PRESTIGE 14 FLIP AI+ ULTRA 9 386H 32GB 1TB W11+OHS+M365B 14.0WUXGA OLED TOUCH PEN BLIT 2Y GRY -D3MTG.014</t>
  </si>
  <si>
    <t>MSI PRESTIGE 14 FLIP</t>
  </si>
  <si>
    <t>25,999,000.00</t>
  </si>
  <si>
    <t>Intel Core Ultra 9 386H</t>
  </si>
  <si>
    <t>Brand: MSI | Tipe: Prestige 14 Flip AI+ | Color: Platinum Gray | Operating System: Windows 11 Home + Office Home &amp; Student + Microsoft 365 Basic | Processor: Intel Core Ultra 9 386H | Graphics: Intel Graphics | RAM: 32 GB LPDDR5X (On Board) | Storage: 1 TB NVMe PCIe Gen4x4 SSD | Main Display Size: 14 Inch | Main Display Type: 16:10 WUXGA (1920 x 1200) OLED, 100% DCI-P3 (Typ.), Touchscreen with Gorilla Glass (Support MSI Nano Pen) | Display Resolution: WUXGA 1920 x 1200 | Camera: IR FHD (30fps @1080p) with HDR, 3D Noise Reduction+ (3DNR+) | Audio: 2x 2W Speakers, 2x 2W Woofer, Spatial Array Microphone (3 Mic) | Battery: 81 Wh 4-Cell Charger: 65 W PD Adapter | Connectivity: Wi-Fi 7 (802.11 be), Bluetooth 6 | Ports: 2x Thunderbolt™ 4 (DisplayPort™ / Power Delivery 3.0) 2x USB 3.2 Gen2 Type-A 1x HDMI™ 2.1 (8K @ 60Hz / 4K @ 120Hz) 1x Mic-in / Headphone-out Combo Jack | Dimension: 315.6 x 221.9 x 11.9–13.9 mm | Weight: 1.37 kg | Warranty: 1 Year Official MSI Warranty</t>
  </si>
  <si>
    <t>https://www.agres.id/products/msi-prestige-14-flip-ai-ultra-9-386h-32gb-1tb-w11ohsm365b-140wuxga-oled-touch-pen-blit-2y-gry-d3mtg014</t>
  </si>
  <si>
    <t>https://res.cloudinary.com/dbuug9eey/image/upload/v1771900683/products/vusslgyfdgbrmmoy0ing.jpg</t>
  </si>
  <si>
    <t>cpu intel performa sangat tinggi grafis ringan multitasking ekstrem penyimpanan sangat besar ringan layar sedang layar oled resolusi standar mudah dibawa cocok office cocok multimedia</t>
  </si>
  <si>
    <t>msi prestige 14 flip intel core ultra 9 386h graphics grafis terintegrasi ram 32gb ssd 1tb layar 14.0 inch cpu performa sangat tinggi ringan multitasking ekstrem penyimpanan besar sedang oled resolusi standar mudah dibawa cocok office multimedia nugas skripsi kuliah sekolah pelajar mahasiswa browsing internet zoom meeting nonton film youtube word excel presentasi ppt kantor buka banyak tab aplikasi anti lelet coding programming programmer software analis data sering bepergian traveling mobilitas enteng tipis ke kampus nongkrong cafe netflix kualitas bioskop warna akurat manjakan mata desainer tajam gaming berat editing video render 3d travel sultan premium mulus cepat lancar</t>
  </si>
  <si>
    <t>MSI STEALTH A16 MERCEDES AMG AI+ RYZEN AI 9 HX 370 RTX5070 8GB/ 32GB 1TB W11+OHS 16.0WQXGA OLED 240HZ PKRGB 3Y+ADP GRY -A3XWGG.023</t>
  </si>
  <si>
    <t>MSI STEALTH A16 MERCEDES</t>
  </si>
  <si>
    <t>42,599,000.00</t>
  </si>
  <si>
    <t>Brand: MSI | Tipe: Stealth A16 Mercedes AMG AI+ | Color: Grey | Operating System: Windows 11 Home + Microsoft Office Home and Student | Processor: AMD Ryzen AI 9 HX 370 Processor up to 5.1 GHz 12 Cores 24 Threads | Graphics: NVIDIA GeForce RTX 5070 Laptop GPU 8 GB GDDR6 AMD Radeon Graphics | RAM: 32 GB LPDDR5X | Storage: 1 TB M.2 NVMe PCIe 4.0 SSD | Main Display Size: 16 Inch | Main Display Type: OLED Anti Glare 240 Hz 100% DCI P3 | Display Resolution: WQXGA 2560 x 1600 | Camera: 1080P FHD IR Camera with Privacy Shutter | Audio: Dynaudio Built in Speaker Built in Array Microphone | Battery: 99.9 Wh 4 Cell Li ion Charger: 240 W AC Adapter | Connectivity: Wi-Fi 7 Bluetooth 5.4 | Ports: 2x USB 4 Type C Power Delivery DisplayPort 2x USB 3.2 Gen 2 Type A 1x HDMI 2.1 TMDS 1x 3.5 mm Combo Audio Jack 1x DC in 1x SD Card Reader | Dimension: 355.8 x 259.7 x 19.9 mm | Weight: 2.1 kg | Warranty: Official MSI Warranty 3 Years + ADP</t>
  </si>
  <si>
    <t>https://www.agres.id/products/msi-stealth-a16-mercedes-amg-ai-ryzen-ai-9-hx-370-rtx5070-8gb-32gb-1tb-w11ohs-160qhd-oled-240hz-pkrgb-3yadp-gry</t>
  </si>
  <si>
    <t>https://res.cloudinary.com/dbuug9eey/image/upload/v1766214183/products/mszzvf3drntfhfmnrwsu.jpg</t>
  </si>
  <si>
    <t>gaming berat, editing video, render 3d, gaming ringan, esports, layar besar, nyaman nonton, multimedia, sultan, premium, layar mulus, gaming cepat, multitasking, lancar, kinerja cepat, boot cepat, loading cepat, office, kuliah, presentasi</t>
  </si>
  <si>
    <t>cpu amd performa sangat tinggi ai ready gaming berat gaming extreme multitasking ekstrem penyimpanan sangat besar berat layar besar layar oled resolusi tinggi cocok gaming cocok multimedia</t>
  </si>
  <si>
    <t>msi stealth a16 mercedes amd ryzen ai 9 hx 370 nvidia geforce rtx 5070 ram 32gb ssd 1tb layar 16.0 inch cpu performa sangat tinggi ready gaming berat extreme multitasking ekstrem penyimpanan besar oled resolusi cocok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ringan esports nyaman sultan premium mulus cepat lancar office kuliah presentasi</t>
  </si>
  <si>
    <t>MSI VECTOR 16HX AI ULTRA 9 275HX RTX5080 16GB/ 16GB 1TB W11+OHS 16.0WQXGA 240HZ 100DCIP3 24ZRGB GRY -A2XWIG.043</t>
  </si>
  <si>
    <t>MSI VECTOR 16HX AI</t>
  </si>
  <si>
    <t>40,199,000.00</t>
  </si>
  <si>
    <t>2.7 kg</t>
  </si>
  <si>
    <t>Brand: MSI | Tipe: VECTOR 16HX AI | Color: Grey | Operating System: Windows 11 Home + Microsoft Office Home 2024 | Processor: Intel Core Ultra 9 275HX with Intel AI Boost (NPU), 24 Cores (8P + 16E), 24 Threads, up to 5.4 GHz | Graphics: NVIDIA GeForce RTX 5080 Laptop GPU 16GB GDDR7, up to 2287MHz Boost Clock, 175W Maximum Graphics Power with Dynamic Boost | RAM: 16GB DDR5-5600 (2x8GB, Expandable up to 96GB) | Storage: 1TB NVMe SSD PCIe Gen4 (Additional 1x M.2 PCIe Gen4 + 1x M.2 PCIe Gen5 Slot) | Main Display Size: 16 Inch | Main Display Type: IPS-Level, 240Hz, 100% DCI-P3 | Display Resolution: WQXGA 2560 x 1600 | Camera: HD 720p 30fps + IR FHD 1080p 30fps with HDR &amp; 3D Noise Reduction+ | Audio: 2x 2W Speakers, Nahimic 3 Audio Enhancer, Hi-Res Audio Ready | Battery: 90Wh Charger: 330W | Connectivity: Intel Wi-Fi 6E AX211, Bluetooth 5.3 | Ports: 2x USB 3.2 Gen 2 Type-A 2x Thunderbolt™ 5 (DisplayPort &amp; Power Delivery 3.1) 1x HDMI 2.1 (Up to 8K 60Hz / 4K 120Hz) 1x Mic-in / Headphone-out Combo Jack 1x SD Express Card Reader 1x 2.5 Gigabit Ethernet | Dimension: 357 x 284 x 22.20–28.55 mm | Weight: 2.7 kg | Warranty: Official MSI Warranty 3 Years</t>
  </si>
  <si>
    <t>https://www.agres.id/products/msi-vector-16hx-ai-ultra-9-275hx-rtx5080-16gb-16gb-1tb-w11ohs-160qhd-240hz-100dcip3-24zrgb-gray-a2xwig043</t>
  </si>
  <si>
    <t>https://res.cloudinary.com/dbuug9eey/image/upload/v1766128091/products/lc2pyz3uisagjoaorheq.jpg</t>
  </si>
  <si>
    <t>cpu intel performa sangat tinggi gaming berat gaming extreme multitasking lancar penyimpanan sangat besar berat layar besar layar bagus resolusi tinggi cocok gaming cocok kerja cocok multimedia</t>
  </si>
  <si>
    <t>msi vector 16hx ai intel core ultra 9 275hx nvidia geforce rtx 5080 ram 16gb ssd 1tb layar 16.0 inch cpu performa sangat tinggi gaming berat extreme multitasking lancar penyimpanan besar bagus resolusi cocok kerja multimedia kantor buka banyak tab aplikasi anti lelet coding programming programmer software analis data gamer rata kanan gta cyberpunk render 3d autocad blender sketchup video editor profesional premiere pro after effects nonton netflix kualitas bioskop warna akurat manjakan mata desainer tajam editing nyaman sultan premium mulus cepat office kuliah presentasi</t>
  </si>
  <si>
    <t>MSI VENTURE 14 AI OLED ULTRA 7 155H 16GB 1TB W11+OHS 14.0 2.8K 120HZ 2Y+ADP GRY -A1MG.007</t>
  </si>
  <si>
    <t>MSI VENTURE 14 AI</t>
  </si>
  <si>
    <t>13,099,000.00</t>
  </si>
  <si>
    <t>1.7 kg</t>
  </si>
  <si>
    <t>Brand: MSI | Tipe: Venture 14 AI OLED | Color: Solid Gray | Operating System: Windows 11 Home + Office Home 2024 | Processor: Intel Core Ultra 7 155H with Intel AI Boost, 16 Cores (6P + 8E + 2 LP E-Cores), up to 4.8 GHz | Graphics: Intel Arc Graphics | RAM: 16 GB DDR5 5600 MHz (2x8 GB, Dual Channel, Upgradable to 96 GB) | Storage: 1 TB NVMe PCIe Gen4 SSD | Main Display Size: 14 Inch | Main Display Type: OLED, 120Hz, 100% DCI-P3, Low Blue Light, Flicker-free | Display Resolution: 2.8K 2880 x 1800 | Camera: HD Webcam (720p) with 3D Noise Reduction | Audio: 2x 2W Speakers, Hi-Res Audio Ready, DTS Audio Processing | Battery: 55.2 Wh Charger: 90 W Adapter | Connectivity: Wi-Fi 6E, Bluetooth 5.3 | Ports: 2x USB-A 3.2 Gen 1 1x USB-C 3.2 Gen 2 (DisplayPort, Power Delivery 3.0) 1x HDMI 2.1 (4K @ 60Hz) 1x RJ-45 Ethernet 1x Headphone / Microphone Combo Jack | Dimension: 315.6 x 235.5 x 19.3-21.6 mm | Weight: 1.7 kg Security: fTPM 2.0, Webcam Shutter, Kensington Lock | Warranty: 2 Years Limited Warranty + 1 Year Accidental Damage Protection</t>
  </si>
  <si>
    <t>https://www.agres.id/products/msi-venture-14-ai-oled-ultra-7-155h-16gb-1tb-w11ohs-140-28k-120hz-2yadp-gry--a1mg007</t>
  </si>
  <si>
    <t>https://res.cloudinary.com/dbuug9eey/image/upload/v1775278093/products/hlmffd2gdrmss6tajjsr.jpg</t>
  </si>
  <si>
    <t>gaming berat, editing video, render 3d, menengah, layar mulus, gaming cepat, multitasking, lancar, kinerja cepat, boot cepat, loading cepat, office, kuliah, presentasi</t>
  </si>
  <si>
    <t>cpu intel performa tinggi grafis modern multitasking lancar penyimpanan sangat besar sedang layar sedang layar oled resolusi tinggi cocok kerja cocok multimedia</t>
  </si>
  <si>
    <t>msi venture 14 ai intel core ultra 7 155h arc graphics grafis terintegrasi ram 16gb ssd 1tb layar 14.0 inch cpu performa tinggi modern multitasking lancar penyimpanan sangat besar sedang oled resolusi cocok kerja multimedia kantor buka banyak tab aplikasi anti lelet coding programming programmer software analis data main game ringan valorant dota genshin impact esports edit video desain canva photoshop corel illustrator konten kreator nonton netflix kualitas bioskop warna akurat manjakan mata desainer tajam gaming berat editing render 3d mulus cepat office kuliah presentasi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</si>
</sst>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
    <numFmt numFmtId="166" formatCode="#,##0.0"/>
  </numFmts>
  <fonts count="13">
    <font>
      <sz val="10.0"/>
      <color rgb="FF000000"/>
      <name val="Arial"/>
      <scheme val="minor"/>
    </font>
    <font>
      <sz val="11.0"/>
      <color rgb="FFFFFFFF"/>
      <name val="Calibri"/>
    </font>
    <font>
      <color rgb="FFFFFFFF"/>
      <name val="Arial"/>
      <scheme val="minor"/>
    </font>
    <font>
      <sz val="11.0"/>
      <color theme="1"/>
      <name val="Calibri"/>
    </font>
    <font>
      <u/>
      <sz val="11.0"/>
      <color rgb="FF0000FF"/>
      <name val="Calibri"/>
    </font>
    <font>
      <u/>
      <sz val="11.0"/>
      <color rgb="FF000000"/>
      <name val="Calibri"/>
    </font>
    <font>
      <sz val="11.0"/>
      <color rgb="FF000000"/>
      <name val="Calibri"/>
    </font>
    <font>
      <u/>
      <sz val="11.0"/>
      <color rgb="FF000000"/>
      <name val="Calibri"/>
    </font>
    <font>
      <u/>
      <sz val="11.0"/>
      <color rgb="FF0000FF"/>
      <name val="Calibri"/>
    </font>
    <font>
      <u/>
      <sz val="11.0"/>
      <color rgb="FF0000FF"/>
      <name val="Calibri"/>
    </font>
    <font>
      <color theme="1"/>
      <name val="Arial"/>
      <scheme val="minor"/>
    </font>
    <font>
      <color theme="1"/>
      <name val="Calibri"/>
    </font>
    <font>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2" fontId="1" numFmtId="0" xfId="0" applyAlignment="1" applyFont="1">
      <alignment horizontal="left" readingOrder="0" vertical="top"/>
    </xf>
    <xf borderId="0" fillId="2" fontId="1" numFmtId="49" xfId="0" applyAlignment="1" applyFont="1" applyNumberFormat="1">
      <alignment horizontal="left" readingOrder="0" vertical="top"/>
    </xf>
    <xf borderId="0" fillId="2" fontId="1" numFmtId="164" xfId="0" applyAlignment="1" applyFont="1" applyNumberFormat="1">
      <alignment horizontal="left" readingOrder="0" vertical="top"/>
    </xf>
    <xf borderId="0" fillId="2" fontId="1" numFmtId="4" xfId="0" applyAlignment="1" applyFont="1" applyNumberFormat="1">
      <alignment horizontal="left" readingOrder="0" vertical="top"/>
    </xf>
    <xf borderId="0" fillId="2" fontId="1" numFmtId="165" xfId="0" applyAlignment="1" applyFont="1" applyNumberFormat="1">
      <alignment horizontal="left" readingOrder="0" vertical="top"/>
    </xf>
    <xf borderId="0" fillId="2" fontId="1" numFmtId="166" xfId="0" applyAlignment="1" applyFont="1" applyNumberFormat="1">
      <alignment horizontal="left" readingOrder="0" vertical="top"/>
    </xf>
    <xf borderId="0" fillId="2" fontId="1" numFmtId="0" xfId="0" applyAlignment="1" applyFont="1">
      <alignment readingOrder="0" shrinkToFit="0" vertical="top" wrapText="1"/>
    </xf>
    <xf borderId="0" fillId="2" fontId="1" numFmtId="0" xfId="0" applyAlignment="1" applyFont="1">
      <alignment readingOrder="0" shrinkToFit="0" vertical="top" wrapText="1"/>
    </xf>
    <xf borderId="0" fillId="2" fontId="1" numFmtId="0" xfId="0" applyAlignment="1" applyFont="1">
      <alignment readingOrder="0" shrinkToFit="0" vertical="bottom" wrapText="1"/>
    </xf>
    <xf borderId="0" fillId="0" fontId="2" numFmtId="0" xfId="0" applyFont="1"/>
    <xf borderId="0" fillId="0" fontId="3" numFmtId="0" xfId="0" applyAlignment="1" applyFont="1">
      <alignment horizontal="left" readingOrder="0" shrinkToFit="0" vertical="top" wrapText="1"/>
    </xf>
    <xf borderId="0" fillId="0" fontId="3" numFmtId="0" xfId="0" applyAlignment="1" applyFont="1">
      <alignment horizontal="left" readingOrder="0" vertical="top"/>
    </xf>
    <xf borderId="0" fillId="0" fontId="3" numFmtId="49" xfId="0" applyAlignment="1" applyFont="1" applyNumberFormat="1">
      <alignment horizontal="left" readingOrder="0" vertical="top"/>
    </xf>
    <xf borderId="0" fillId="0" fontId="3" numFmtId="164" xfId="0" applyAlignment="1" applyFont="1" applyNumberFormat="1">
      <alignment horizontal="left" readingOrder="0" vertical="top"/>
    </xf>
    <xf borderId="0" fillId="0" fontId="3" numFmtId="3" xfId="0" applyAlignment="1" applyFont="1" applyNumberFormat="1">
      <alignment horizontal="left" readingOrder="0" vertical="top"/>
    </xf>
    <xf borderId="0" fillId="0" fontId="3" numFmtId="165" xfId="0" applyAlignment="1" applyFont="1" applyNumberFormat="1">
      <alignment horizontal="left" readingOrder="0" vertical="top"/>
    </xf>
    <xf borderId="0" fillId="0" fontId="3" numFmtId="4" xfId="0" applyAlignment="1" applyFont="1" applyNumberFormat="1">
      <alignment horizontal="left" readingOrder="0" vertical="top"/>
    </xf>
    <xf borderId="0" fillId="0" fontId="3" numFmtId="166" xfId="0" applyAlignment="1" applyFont="1" applyNumberForma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shrinkToFit="0" vertical="bottom" wrapText="1"/>
    </xf>
    <xf borderId="0" fillId="0" fontId="7"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9" numFmtId="0" xfId="0" applyAlignment="1" applyFont="1">
      <alignment readingOrder="0" shrinkToFit="0" vertical="top" wrapText="1"/>
    </xf>
    <xf borderId="0" fillId="0" fontId="6" numFmtId="0" xfId="0" applyAlignment="1" applyFont="1">
      <alignment readingOrder="0" shrinkToFit="0" vertical="top" wrapText="1"/>
    </xf>
    <xf borderId="0" fillId="0" fontId="10" numFmtId="0" xfId="0" applyAlignment="1" applyFont="1">
      <alignment horizontal="left" shrinkToFit="0" vertical="top" wrapText="1"/>
    </xf>
    <xf borderId="0" fillId="0" fontId="10" numFmtId="0" xfId="0" applyAlignment="1" applyFont="1">
      <alignment horizontal="left" vertical="top"/>
    </xf>
    <xf borderId="0" fillId="0" fontId="10" numFmtId="49" xfId="0" applyAlignment="1" applyFont="1" applyNumberFormat="1">
      <alignment horizontal="left" vertical="top"/>
    </xf>
    <xf borderId="0" fillId="0" fontId="10" numFmtId="164" xfId="0" applyAlignment="1" applyFont="1" applyNumberFormat="1">
      <alignment horizontal="left" vertical="top"/>
    </xf>
    <xf borderId="0" fillId="0" fontId="10" numFmtId="4" xfId="0" applyAlignment="1" applyFont="1" applyNumberFormat="1">
      <alignment horizontal="left" vertical="top"/>
    </xf>
    <xf borderId="0" fillId="0" fontId="10" numFmtId="165" xfId="0" applyAlignment="1" applyFont="1" applyNumberFormat="1">
      <alignment horizontal="left" vertical="top"/>
    </xf>
    <xf borderId="0" fillId="0" fontId="10" numFmtId="166" xfId="0" applyAlignment="1" applyFont="1" applyNumberFormat="1">
      <alignment horizontal="left" vertical="top"/>
    </xf>
    <xf borderId="0" fillId="0" fontId="11" numFmtId="0" xfId="0" applyAlignment="1" applyFont="1">
      <alignment horizontal="left" shrinkToFit="0" vertical="top" wrapText="1"/>
    </xf>
    <xf borderId="0" fillId="0" fontId="1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es.cloudinary.com/dbuug9eey/image/upload/v1775538028/products/hnano5lpslqghg2xcp35.jpg" TargetMode="External"/><Relationship Id="rId190" Type="http://schemas.openxmlformats.org/officeDocument/2006/relationships/hyperlink" Target="https://www.agres.id/products/lenovo-loq-15-i7-13650hx-rtx4050-6gb-16gb-512gb-w11ohsm365b-156fhd-144hz-100srgb-4zrgb-2y-prem2adp-gry-arid" TargetMode="External"/><Relationship Id="rId42" Type="http://schemas.openxmlformats.org/officeDocument/2006/relationships/hyperlink" Target="https://res.cloudinary.com/dbuug9eey/image/upload/v1771909330/products/rc2u1s564cjut4oefinq.jpg" TargetMode="External"/><Relationship Id="rId41" Type="http://schemas.openxmlformats.org/officeDocument/2006/relationships/hyperlink" Target="https://www.agres.id/products/advan-tbook-n100-4gb-128gb-w11-140" TargetMode="External"/><Relationship Id="rId44" Type="http://schemas.openxmlformats.org/officeDocument/2006/relationships/hyperlink" Target="https://res.cloudinary.com/dbuug9eey/image/upload/v1772777492/products/kyse41dx2j2besfbeujh.jpg" TargetMode="External"/><Relationship Id="rId194" Type="http://schemas.openxmlformats.org/officeDocument/2006/relationships/hyperlink" Target="https://www.agres.id/products/lenovo-thinkpad-e14-ultra-5-226v-16gb-512gb-w11pro-14wuxga-ips-60hz-blk-3y" TargetMode="External"/><Relationship Id="rId43" Type="http://schemas.openxmlformats.org/officeDocument/2006/relationships/hyperlink" Target="https://www.agres.id/products/advan-workplus-heritage-ryzen-5-7535hs-8gb-512gb-w11-140wuxga-1y-slv" TargetMode="External"/><Relationship Id="rId193" Type="http://schemas.openxmlformats.org/officeDocument/2006/relationships/hyperlink" Target="https://res.cloudinary.com/dbuug9eey/image/upload/v1765789548/products/t51dwmcc1asnlzuhjdzq.jpg" TargetMode="External"/><Relationship Id="rId46" Type="http://schemas.openxmlformats.org/officeDocument/2006/relationships/hyperlink" Target="https://res.cloudinary.com/dbuug9eey/image/upload/v1767593009/products/eq26gwrujpncqnkjqmfz.jpg" TargetMode="External"/><Relationship Id="rId192" Type="http://schemas.openxmlformats.org/officeDocument/2006/relationships/hyperlink" Target="https://www.agres.id/products/lenovo-loq-15-ryzen-7-250-rtx5050-8gb-16gb-512gb-w11ohsm365b-156fhd-100srgb-2y2adp-gry-74id" TargetMode="External"/><Relationship Id="rId45" Type="http://schemas.openxmlformats.org/officeDocument/2006/relationships/hyperlink" Target="https://www.agres.id/products/ibox-apple-macbook-air-13-m4-8c-gpu-16gb-256gb-10c-cpu-silver--mw0w3id-1" TargetMode="External"/><Relationship Id="rId191" Type="http://schemas.openxmlformats.org/officeDocument/2006/relationships/hyperlink" Target="https://res.cloudinary.com/dbuug9eey/image/upload/v1766050233/products/zussgvme6pxgvf0lgbog.jpg" TargetMode="External"/><Relationship Id="rId48" Type="http://schemas.openxmlformats.org/officeDocument/2006/relationships/hyperlink" Target="https://res.cloudinary.com/dbuug9eey/image/upload/v1767592528/products/won5udmxufbvfjx6ntof.jpg" TargetMode="External"/><Relationship Id="rId187" Type="http://schemas.openxmlformats.org/officeDocument/2006/relationships/hyperlink" Target="https://res.cloudinary.com/dbuug9eey/image/upload/v1769574070/products/ihbaeu0a1d8qrwvfqd20.jpg" TargetMode="External"/><Relationship Id="rId47" Type="http://schemas.openxmlformats.org/officeDocument/2006/relationships/hyperlink" Target="https://www.agres.id/products/ibox-apple-macbook-air-13-m4-8c-gpu-16gb-256gb-10c-cpu-sky-blue-mc6t4id-1" TargetMode="External"/><Relationship Id="rId186" Type="http://schemas.openxmlformats.org/officeDocument/2006/relationships/hyperlink" Target="https://www.agres.id/products/lenovo-legion-pro-5i-oled-ultra-7-255hx-rtx5060-8gb-16gb-1tb-w11ohsm365b-160-wqxga-165hz-24zrgb-3y3adp--35id" TargetMode="External"/><Relationship Id="rId185" Type="http://schemas.openxmlformats.org/officeDocument/2006/relationships/hyperlink" Target="https://res.cloudinary.com/dbuug9eey/image/upload/v1767353254/products/iuxszk2ccch5e1wgvx1n.jpg" TargetMode="External"/><Relationship Id="rId49" Type="http://schemas.openxmlformats.org/officeDocument/2006/relationships/hyperlink" Target="https://www.agres.id/products/ibox-apple-macbook-pro-14-m5-10c-gpu-16gb-1tb-10c-cpu-140-space-black-mde14id" TargetMode="External"/><Relationship Id="rId184" Type="http://schemas.openxmlformats.org/officeDocument/2006/relationships/hyperlink" Target="https://www.agres.id/products/lenovo-legion-7i-16-oled-ultra-9-275hx-rtx5070-8gb-32gb-1tb-w11ohsm365b-160-wqxga-165hz-pkrgb-3y3adp-white-4eid" TargetMode="External"/><Relationship Id="rId189" Type="http://schemas.openxmlformats.org/officeDocument/2006/relationships/hyperlink" Target="https://res.cloudinary.com/dbuug9eey/image/upload/v1765879298/products/tea4oahtzn6mdkaawzq5.jpg" TargetMode="External"/><Relationship Id="rId188" Type="http://schemas.openxmlformats.org/officeDocument/2006/relationships/hyperlink" Target="https://www.agres.id/products/lenovo-legion-pro-7i-16-oled-ultra-9-275hx-rtx5090-24gb-32gb-1tb-w11ohsm365b-160wqxga-240hz-pkrgb-3y3adp--90id" TargetMode="External"/><Relationship Id="rId31" Type="http://schemas.openxmlformats.org/officeDocument/2006/relationships/hyperlink" Target="https://www.agres.id/products/acer-swift-go-oled-sfg14-ultra-7-155h-32gb-1tb-w11ohs-140-28k-90hz-evo-2yadp--73731a" TargetMode="External"/><Relationship Id="rId30" Type="http://schemas.openxmlformats.org/officeDocument/2006/relationships/hyperlink" Target="https://res.cloudinary.com/dbuug9eey/image/upload/v1766215894/products/yotvwmu1qaiikiwzea0x.webp" TargetMode="External"/><Relationship Id="rId33" Type="http://schemas.openxmlformats.org/officeDocument/2006/relationships/hyperlink" Target="https://www.agres.id/products/acer-swift-go-oled-sfg14-ultra-9-185h-32gb-1tb-w11ohs-140-28k-90hz-2yadp-blu-739686" TargetMode="External"/><Relationship Id="rId183" Type="http://schemas.openxmlformats.org/officeDocument/2006/relationships/hyperlink" Target="https://res.cloudinary.com/dbuug9eey/image/upload/v1764816285/products/qfhnmoa1p8gaaug2m1jw.jpg" TargetMode="External"/><Relationship Id="rId32" Type="http://schemas.openxmlformats.org/officeDocument/2006/relationships/hyperlink" Target="https://res.cloudinary.com/dbuug9eey/image/upload/v1766209482/products/soh21ocen53sxwdddi3c.webp" TargetMode="External"/><Relationship Id="rId182" Type="http://schemas.openxmlformats.org/officeDocument/2006/relationships/hyperlink" Target="https://www.agres.id/products/lenovo-legion-5i-15-oled-ultra-7-255hx-rtx5060-8gb-32gb-512gb-w11ohsm365b-151-wqxga-165hz-24zrgb-3y3adp-blk-65" TargetMode="External"/><Relationship Id="rId35" Type="http://schemas.openxmlformats.org/officeDocument/2006/relationships/hyperlink" Target="https://www.agres.id/products/advan-360-go-ryzen-3-3200u-8gb-256gb-w11-140fhd-ips-gry" TargetMode="External"/><Relationship Id="rId181" Type="http://schemas.openxmlformats.org/officeDocument/2006/relationships/hyperlink" Target="https://res.cloudinary.com/dbuug9eey/image/upload/v1766060563/products/sl21hboqc45acujrayyv.jpg" TargetMode="External"/><Relationship Id="rId34" Type="http://schemas.openxmlformats.org/officeDocument/2006/relationships/hyperlink" Target="https://res.cloudinary.com/dbuug9eey/image/upload/v1765883589/products/jdn6j99mquztlq7m6zt1.jpg" TargetMode="External"/><Relationship Id="rId180" Type="http://schemas.openxmlformats.org/officeDocument/2006/relationships/hyperlink" Target="https://www.agres.id/products/lenovo-legion-5i-15-i7-13650hx-rtx5050-8gb-16gb-512gb-w11ohsm365b-153wuxga-165hz-100srgb-blit-3y-ult3adp-blk--e9id" TargetMode="External"/><Relationship Id="rId37" Type="http://schemas.openxmlformats.org/officeDocument/2006/relationships/hyperlink" Target="https://www.agres.id/products/advan-soulmate-x2-amd-3020-8gb-128gb-w11-140-ips-white" TargetMode="External"/><Relationship Id="rId176" Type="http://schemas.openxmlformats.org/officeDocument/2006/relationships/hyperlink" Target="https://www.agres.id/products/lenovo-ideapad-slim-3-14-i5-13420h-16gb-512gb-w11ohsm365b-140wuxga-ips-2y-prem2adp-blu-7did" TargetMode="External"/><Relationship Id="rId36" Type="http://schemas.openxmlformats.org/officeDocument/2006/relationships/hyperlink" Target="https://res.cloudinary.com/dbuug9eey/image/upload/v1771997076/products/yc1zvdqqnr2c1kiyobmi.jpg" TargetMode="External"/><Relationship Id="rId175" Type="http://schemas.openxmlformats.org/officeDocument/2006/relationships/hyperlink" Target="https://res.cloudinary.com/dbuug9eey/image/upload/v1765878543/products/cwzckldndrhxmg52juye.jpg" TargetMode="External"/><Relationship Id="rId39" Type="http://schemas.openxmlformats.org/officeDocument/2006/relationships/hyperlink" Target="https://www.agres.id/products/advan-tbook-n100-4gb-128gb-w11-140-dark-gry" TargetMode="External"/><Relationship Id="rId174" Type="http://schemas.openxmlformats.org/officeDocument/2006/relationships/hyperlink" Target="https://www.agres.id/products/lenovo-ideapad-slim-3-14-i3-1315-8gb-512gb-w11ohsm365b-140fhd-blit-2y-prem2adp-artic-gry-6fid" TargetMode="External"/><Relationship Id="rId38" Type="http://schemas.openxmlformats.org/officeDocument/2006/relationships/hyperlink" Target="https://res.cloudinary.com/dbuug9eey/image/upload/v1771930614/products/oqnpnzgpo2cjibkrkfos.jpg" TargetMode="External"/><Relationship Id="rId173" Type="http://schemas.openxmlformats.org/officeDocument/2006/relationships/hyperlink" Target="https://res.cloudinary.com/dbuug9eey/image/upload/v1764904068/products/oopp91rxdh1gzmutxuei.jpg" TargetMode="External"/><Relationship Id="rId179" Type="http://schemas.openxmlformats.org/officeDocument/2006/relationships/hyperlink" Target="https://res.cloudinary.com/dbuug9eey/image/upload/v1764759906/products/qiibdrxptqapvzckkot5.jpg" TargetMode="External"/><Relationship Id="rId178" Type="http://schemas.openxmlformats.org/officeDocument/2006/relationships/hyperlink" Target="https://www.agres.id/products/lenovo-ideapad-slim-3-14-ryzen-5-7535hs-8gb-512gb-w11ohsm365b-140wuxga-ips-blu-2y-prem2adp-5kid" TargetMode="External"/><Relationship Id="rId177" Type="http://schemas.openxmlformats.org/officeDocument/2006/relationships/hyperlink" Target="https://res.cloudinary.com/dbuug9eey/image/upload/v1764841564/products/nlsde8ikp4thhyyhuzsz.jpg" TargetMode="External"/><Relationship Id="rId20" Type="http://schemas.openxmlformats.org/officeDocument/2006/relationships/hyperlink" Target="https://res.cloudinary.com/dbuug9eey/image/upload/v1765349552/products/zvxnvx2knqk7mzbalsve.jpg" TargetMode="External"/><Relationship Id="rId22" Type="http://schemas.openxmlformats.org/officeDocument/2006/relationships/hyperlink" Target="https://res.cloudinary.com/dbuug9eey/image/upload/v1766206269/products/huyawig1mwtg5frcdvtz.jpg" TargetMode="External"/><Relationship Id="rId21" Type="http://schemas.openxmlformats.org/officeDocument/2006/relationships/hyperlink" Target="https://www.agres.id/products/acer-nitro-lite-16-i5-13420h-rtx4050-6gb-16gb-512gb-w11ohs-160wuxga-180hz-100srgb-blit-2yadp-wht-71g55vc" TargetMode="External"/><Relationship Id="rId24" Type="http://schemas.openxmlformats.org/officeDocument/2006/relationships/hyperlink" Target="https://res.cloudinary.com/dbuug9eey/image/upload/v1775894502/products/fsckv6fqmxyqrfxqhzjn.jpg" TargetMode="External"/><Relationship Id="rId23" Type="http://schemas.openxmlformats.org/officeDocument/2006/relationships/hyperlink" Target="https://www.agres.id/products/acer-nitro-v-15-i5-210h-rtx5050-8gb-16gb-512gb-w11ohs-156fhd-180hz-100srgb-2yadp-5250fx" TargetMode="External"/><Relationship Id="rId26" Type="http://schemas.openxmlformats.org/officeDocument/2006/relationships/hyperlink" Target="https://res.cloudinary.com/dbuug9eey/image/upload/v1765343427/products/gr9ymfuxnz7msuuvrk91.jpg" TargetMode="External"/><Relationship Id="rId25" Type="http://schemas.openxmlformats.org/officeDocument/2006/relationships/hyperlink" Target="https://www.agres.id/products/acer-nitro-v-15-ryzen-7-7445hs-rtx4050-6gb-16gb-512gb-w11ohs-156fhd-180hz-2yadp-blk-42r60u" TargetMode="External"/><Relationship Id="rId28" Type="http://schemas.openxmlformats.org/officeDocument/2006/relationships/hyperlink" Target="https://res.cloudinary.com/dbuug9eey/image/upload/v1765346610/products/wqvsg5idwayow7r2yy0n.jpg" TargetMode="External"/><Relationship Id="rId27" Type="http://schemas.openxmlformats.org/officeDocument/2006/relationships/hyperlink" Target="https://www.agres.id/products/acer-nitro-v-16s-ryzen-7-260-rtx5050-8gb-16gb-512gb-w11ohsm365b-160wuxga-180hz-100srgb-2yadp-blk-41r8cj" TargetMode="External"/><Relationship Id="rId29" Type="http://schemas.openxmlformats.org/officeDocument/2006/relationships/hyperlink" Target="https://www.agres.id/products/acer-predator-helios-neo-165-ai-oled-ultra-7-255hx-rtx5060-8gb-16gb-1tb-w11ohs-160wqxga-240hz-3yadp-7178uq" TargetMode="External"/><Relationship Id="rId11" Type="http://schemas.openxmlformats.org/officeDocument/2006/relationships/hyperlink" Target="https://www.agres.id/products/acer-aspire-lite-14-al14-ryzen-3-5400-8gb-512gb-w11ohsm365b-140wuxga-ips-slv-45pr8jn" TargetMode="External"/><Relationship Id="rId10" Type="http://schemas.openxmlformats.org/officeDocument/2006/relationships/hyperlink" Target="https://res.cloudinary.com/dbuug9eey/image/upload/v1765181053/products/ykgxuwnupmdjgomxgufr.jpg" TargetMode="External"/><Relationship Id="rId13" Type="http://schemas.openxmlformats.org/officeDocument/2006/relationships/hyperlink" Target="https://www.agres.id/products/acer-aspire-lite-15-al15-ryzen-5-8640hs-8gb-512gb-w11ohsm365b-156fhd-ips-slv-61pr3qe" TargetMode="External"/><Relationship Id="rId12" Type="http://schemas.openxmlformats.org/officeDocument/2006/relationships/hyperlink" Target="https://res.cloudinary.com/dbuug9eey/image/upload/v1775894854/products/ljp4qdw6ufrtihvr1hks.jpg" TargetMode="External"/><Relationship Id="rId15" Type="http://schemas.openxmlformats.org/officeDocument/2006/relationships/hyperlink" Target="https://www.agres.id/products/acer-aspire-spin-asp14-touch-ultra-7-155u-16gb-1tb-w11ohs-140wuxga-pen-2in1-gry--52mtn706p" TargetMode="External"/><Relationship Id="rId198" Type="http://schemas.openxmlformats.org/officeDocument/2006/relationships/hyperlink" Target="https://res.cloudinary.com/dbuug9eey/image/upload/v1765865953/products/laqfmbfccuc1laeqcikj.jpg" TargetMode="External"/><Relationship Id="rId14" Type="http://schemas.openxmlformats.org/officeDocument/2006/relationships/hyperlink" Target="https://res.cloudinary.com/dbuug9eey/image/upload/v1767870079/products/mynwozctvuzucgjnrxyx.jpg" TargetMode="External"/><Relationship Id="rId197" Type="http://schemas.openxmlformats.org/officeDocument/2006/relationships/hyperlink" Target="https://www.agres.id/products/lenovo-thinkpad-l13-g6-ultra-5-225u-16gb-512gb-w11pro-133wuxga-ips-3y-ps-blk--33id" TargetMode="External"/><Relationship Id="rId17" Type="http://schemas.openxmlformats.org/officeDocument/2006/relationships/hyperlink" Target="https://www.agres.id/products/acer-nitro-lite-16-i7-240h-rtx3050-6gb-16gb-512gb-w11ohs-160wuxga-180hz-100srgb-2y-white-71g-75qk" TargetMode="External"/><Relationship Id="rId196" Type="http://schemas.openxmlformats.org/officeDocument/2006/relationships/hyperlink" Target="https://www.agres.id/products/lenovo-thinkpad-e14-g7-ultra-7-255h-16gb-1tb-140wuxga-w11pro-3y-ps-blk-60id" TargetMode="External"/><Relationship Id="rId16" Type="http://schemas.openxmlformats.org/officeDocument/2006/relationships/hyperlink" Target="https://res.cloudinary.com/dbuug9eey/image/upload/v1765274158/products/yrnptep8x8watg63cunb.jpg" TargetMode="External"/><Relationship Id="rId195" Type="http://schemas.openxmlformats.org/officeDocument/2006/relationships/hyperlink" Target="https://res.cloudinary.com/dbuug9eey/image/upload/v1772444479/products/ndws6nqycv2psewr6ofr.jpg" TargetMode="External"/><Relationship Id="rId19" Type="http://schemas.openxmlformats.org/officeDocument/2006/relationships/hyperlink" Target="https://www.agres.id/products/acer-nitro-lite-16-core-i5-210h-rtx3050-6gb-16gb-512gb-w11ohs-160wuxga-180hz-100srgb-blit-2yadp-blk-71g5613" TargetMode="External"/><Relationship Id="rId18" Type="http://schemas.openxmlformats.org/officeDocument/2006/relationships/hyperlink" Target="https://res.cloudinary.com/dbuug9eey/image/upload/v1765359831/products/avic9zrdeg2ognb4e9y5.jpg" TargetMode="External"/><Relationship Id="rId199" Type="http://schemas.openxmlformats.org/officeDocument/2006/relationships/hyperlink" Target="https://www.agres.id/products/lenovo-thinkpad-x1-carbon-g13-aura-edition-touch-ultra-7-258v-32gb-1tb-w11pro-140wuxga-100srgb-3y-psp-blk-1" TargetMode="External"/><Relationship Id="rId84" Type="http://schemas.openxmlformats.org/officeDocument/2006/relationships/hyperlink" Target="https://www.agres.id/products/asus-vivobook-14-a1404vap-core-i3-100u-8gb-512gb-w11ohsm365b-140fhd-vips-cool-slv-vips3853m" TargetMode="External"/><Relationship Id="rId83" Type="http://schemas.openxmlformats.org/officeDocument/2006/relationships/hyperlink" Target="https://res.cloudinary.com/dbuug9eey/image/upload/v1775892018/products/q5iuvibjyxreo2y6tdgc.jpg" TargetMode="External"/><Relationship Id="rId86" Type="http://schemas.openxmlformats.org/officeDocument/2006/relationships/hyperlink" Target="https://www.agres.id/products/asus-vivobook-14-a1404vap-core-i5-120u-16gb-512gb-w11ohsm365b-140fhd-vips-brw--vips5152m" TargetMode="External"/><Relationship Id="rId85" Type="http://schemas.openxmlformats.org/officeDocument/2006/relationships/hyperlink" Target="https://res.cloudinary.com/dbuug9eey/image/upload/v1775891944/products/de6a54n2lel8caykifp6.jpg" TargetMode="External"/><Relationship Id="rId88" Type="http://schemas.openxmlformats.org/officeDocument/2006/relationships/hyperlink" Target="https://www.agres.id/products/asus-vivobook-14-a1404vap-core-5-120u-8gb-512gb-w11ohsm365b-140fhd-vips-blu-vips5851m" TargetMode="External"/><Relationship Id="rId150" Type="http://schemas.openxmlformats.org/officeDocument/2006/relationships/hyperlink" Target="https://res.cloudinary.com/dbuug9eey/image/upload/v1773208699/products/pwjmn7tqjvijhrjcj3cc.jpg" TargetMode="External"/><Relationship Id="rId87" Type="http://schemas.openxmlformats.org/officeDocument/2006/relationships/hyperlink" Target="https://res.cloudinary.com/dbuug9eey/image/upload/v1765510192/products/vruqfvfkbzcmcuaqqkxm.jpg" TargetMode="External"/><Relationship Id="rId89" Type="http://schemas.openxmlformats.org/officeDocument/2006/relationships/hyperlink" Target="https://res.cloudinary.com/dbuug9eey/image/upload/v1765505776/products/msetx8pxavb2du2ugmul.jpg" TargetMode="External"/><Relationship Id="rId80" Type="http://schemas.openxmlformats.org/officeDocument/2006/relationships/hyperlink" Target="https://www.agres.id/products/asus-vivobook-14-a1404va-i3-1315u-8gb-512gb-w11ohsm365b-140fhd-vips-slv-vips386m" TargetMode="External"/><Relationship Id="rId82" Type="http://schemas.openxmlformats.org/officeDocument/2006/relationships/hyperlink" Target="https://www.agres.id/products/asus-vivobook-14-a1404vap-core-i3-100u-8gb-512gb-w11ohsm365b-140fhd-vips-blu-vips3851m" TargetMode="External"/><Relationship Id="rId81" Type="http://schemas.openxmlformats.org/officeDocument/2006/relationships/hyperlink" Target="https://res.cloudinary.com/dbuug9eey/image/upload/v1775805861/products/v8wrsnrpkreqhuqssisn.jpg" TargetMode="External"/><Relationship Id="rId1" Type="http://schemas.openxmlformats.org/officeDocument/2006/relationships/hyperlink" Target="https://www.agres.id/products/acer-aspire-go-14-ag14-i3-1315-16gb-512gb-w11ohsm365b-140wuxga-ips-slv-72p38g2" TargetMode="External"/><Relationship Id="rId2" Type="http://schemas.openxmlformats.org/officeDocument/2006/relationships/hyperlink" Target="https://res.cloudinary.com/dbuug9eey/image/upload/v1775639074/products/zg2dsiocnj4qmvizg3xu.jpg" TargetMode="External"/><Relationship Id="rId3" Type="http://schemas.openxmlformats.org/officeDocument/2006/relationships/hyperlink" Target="https://www.agres.id/products/acer-aspire-go-14-ai-ultra-7-155h-16gb-512gb-w11ohsm365b-140-wuxga-100rgb-ips-gry--71m7705" TargetMode="External"/><Relationship Id="rId149" Type="http://schemas.openxmlformats.org/officeDocument/2006/relationships/hyperlink" Target="https://www.agres.id/products/hp-victus-15-ryzen-7-260-rtx5050-8gb-24gb-512gb-w11ohsm365b-156fhd-ips-slv-fb3232ax" TargetMode="External"/><Relationship Id="rId4" Type="http://schemas.openxmlformats.org/officeDocument/2006/relationships/hyperlink" Target="https://res.cloudinary.com/dbuug9eey/image/upload/v1768366071/products/kuzst4xzoj1icmg7uzzr.jpg" TargetMode="External"/><Relationship Id="rId148" Type="http://schemas.openxmlformats.org/officeDocument/2006/relationships/hyperlink" Target="https://res.cloudinary.com/dbuug9eey/image/upload/v1769480197/products/pzdxo7huslzqeeec4bec.jpg" TargetMode="External"/><Relationship Id="rId9" Type="http://schemas.openxmlformats.org/officeDocument/2006/relationships/hyperlink" Target="https://www.agres.id/products/acer-aspire-lite-14-al14-ryzen-3-5300-8gb-512gb-w11ohsm365b-140wuxga-ips-slv-42pr2rj" TargetMode="External"/><Relationship Id="rId143" Type="http://schemas.openxmlformats.org/officeDocument/2006/relationships/hyperlink" Target="https://www.agres.id/products/hp-omnibook-7-oled-14-core-9-270h-32gb-1tb-w11ohsm365b-140-3k-120hz-2yadp-slv--fs0999tu" TargetMode="External"/><Relationship Id="rId142" Type="http://schemas.openxmlformats.org/officeDocument/2006/relationships/hyperlink" Target="https://res.cloudinary.com/dbuug9eey/image/upload/v1772445502/products/hdmxdu3fsu1fl5vrip3m.jpg" TargetMode="External"/><Relationship Id="rId141" Type="http://schemas.openxmlformats.org/officeDocument/2006/relationships/hyperlink" Target="https://www.agres.id/products/hp-omnibook-aero-7-13-ryzen-ai-7-350-16gb-512gb-w11ohsm365b-133wqxga-ips-wht-bg1778au" TargetMode="External"/><Relationship Id="rId140" Type="http://schemas.openxmlformats.org/officeDocument/2006/relationships/hyperlink" Target="https://res.cloudinary.com/dbuug9eey/image/upload/v1772769488/products/coogbawejj1marp9s6ca.jpg" TargetMode="External"/><Relationship Id="rId5" Type="http://schemas.openxmlformats.org/officeDocument/2006/relationships/hyperlink" Target="https://www.agres.id/products/acer-aspire-go-spin-agsp14-touch-core-i3-n355-8gb-512gb-w11ohs-140wuxga-pen-2in1-slv--31pt386w" TargetMode="External"/><Relationship Id="rId147" Type="http://schemas.openxmlformats.org/officeDocument/2006/relationships/hyperlink" Target="https://www.agres.id/products/hp-victus-15-i5-13420h-rtx3050-6gb-16gb-512gb-w11ohs-156fhd-144hz-blit-2y2adp-slv-fa2716tx" TargetMode="External"/><Relationship Id="rId6" Type="http://schemas.openxmlformats.org/officeDocument/2006/relationships/hyperlink" Target="https://res.cloudinary.com/dbuug9eey/image/upload/v1765272023/products/spwkt9zp3n9zb1fqlcop.jpg" TargetMode="External"/><Relationship Id="rId146" Type="http://schemas.openxmlformats.org/officeDocument/2006/relationships/hyperlink" Target="https://res.cloudinary.com/dbuug9eey/image/upload/v1765427214/products/hggak3dsvw1a0yxlral2.jpg" TargetMode="External"/><Relationship Id="rId7" Type="http://schemas.openxmlformats.org/officeDocument/2006/relationships/hyperlink" Target="https://www.agres.id/products/acer-aspire-lite-14-al14-n4500-8gb-512gb-w11ohsm365-140fhd-ips-pink-36pc7q8" TargetMode="External"/><Relationship Id="rId145" Type="http://schemas.openxmlformats.org/officeDocument/2006/relationships/hyperlink" Target="https://www.agres.id/products/hp-omnibook-ultra-flip-14-oled-ultra-9-288v-32gb-2tb-w11ohs-140-28k-vrr-120hz-2yadp-2in1-evo-blu--fh0556tu" TargetMode="External"/><Relationship Id="rId8" Type="http://schemas.openxmlformats.org/officeDocument/2006/relationships/hyperlink" Target="https://res.cloudinary.com/dbuug9eey/image/upload/v1777524805/products/uyslfm3v45bm0tf82mo9.jpg" TargetMode="External"/><Relationship Id="rId144" Type="http://schemas.openxmlformats.org/officeDocument/2006/relationships/hyperlink" Target="https://res.cloudinary.com/dbuug9eey/image/upload/v1765192462/products/pxzo5knxcat2ttatel68.jpg" TargetMode="External"/><Relationship Id="rId73" Type="http://schemas.openxmlformats.org/officeDocument/2006/relationships/hyperlink" Target="https://res.cloudinary.com/dbuug9eey/image/upload/v1775892965/products/pkrehpdtfabqmupuv4kl.jpg" TargetMode="External"/><Relationship Id="rId72" Type="http://schemas.openxmlformats.org/officeDocument/2006/relationships/hyperlink" Target="https://www.agres.id/products/asus-tuf-a15-fa506ncq-ryzen-7-170-rtx3050-4gb-8gb-512gb-w11ohsm365b-156fhd-ips-blk-r735b1t-hm" TargetMode="External"/><Relationship Id="rId75" Type="http://schemas.openxmlformats.org/officeDocument/2006/relationships/hyperlink" Target="https://res.cloudinary.com/dbuug9eey/image/upload/v1765799180/products/zzggk3smfmmictnmiiju.jpg" TargetMode="External"/><Relationship Id="rId74" Type="http://schemas.openxmlformats.org/officeDocument/2006/relationships/hyperlink" Target="https://www.agres.id/products/asus-tuf-f16-fx608jhr-i7-14650hx-rtx5050-8gb-16gb-512gb-w11ohsm365-160wuxga-165hz-gry-i7n55j6g-hm" TargetMode="External"/><Relationship Id="rId77" Type="http://schemas.openxmlformats.org/officeDocument/2006/relationships/hyperlink" Target="https://res.cloudinary.com/dbuug9eey/image/upload/v1774585088/products/b9fj0ohhxrumzf2ktl95.jpg" TargetMode="External"/><Relationship Id="rId76" Type="http://schemas.openxmlformats.org/officeDocument/2006/relationships/hyperlink" Target="https://www.agres.id/products/asus-vivobook-14-a1404va-i3-1315u-8gb-256gb-w11ohsm365b-140fhd-vips-blu-vips3824m" TargetMode="External"/><Relationship Id="rId79" Type="http://schemas.openxmlformats.org/officeDocument/2006/relationships/hyperlink" Target="https://res.cloudinary.com/dbuug9eey/image/upload/v1775805926/products/mkxizpmmpwaxv4ej4x2t.jpg" TargetMode="External"/><Relationship Id="rId78" Type="http://schemas.openxmlformats.org/officeDocument/2006/relationships/hyperlink" Target="https://www.agres.id/products/asus-vivobook-14-a1404va-i3-1315u-8gb-512gb-w11ohsm365b-140fhd-vips-blu-vips3854m" TargetMode="External"/><Relationship Id="rId71" Type="http://schemas.openxmlformats.org/officeDocument/2006/relationships/hyperlink" Target="https://res.cloudinary.com/dbuug9eey/image/upload/v1775881787/products/kmqeiojyusf9dssxvs3v.jpg" TargetMode="External"/><Relationship Id="rId70" Type="http://schemas.openxmlformats.org/officeDocument/2006/relationships/hyperlink" Target="https://www.agres.id/products/asus-tuf-a15-fa506ncq-ryzen-7-170-rtx3050-4gb-16gb-512gb-w11ohsm365b-156fhd-ips-blk-r735b6t-hm" TargetMode="External"/><Relationship Id="rId139" Type="http://schemas.openxmlformats.org/officeDocument/2006/relationships/hyperlink" Target="https://www.agres.id/products/hp-omnibook-5-flip-14-touch-i5-120u-16gb-512gb-w110hsm365-140-2k-2yadp-slv-fp0558tu" TargetMode="External"/><Relationship Id="rId138" Type="http://schemas.openxmlformats.org/officeDocument/2006/relationships/hyperlink" Target="https://res.cloudinary.com/dbuug9eey/image/upload/v1771410255/products/jqfzqf1isuysrufee2lg.jpg" TargetMode="External"/><Relationship Id="rId137" Type="http://schemas.openxmlformats.org/officeDocument/2006/relationships/hyperlink" Target="https://www.agres.id/products/hp-hyperx-omen-15-ryzen-5-240-rtx5050-8gb-16gb-1tb-w11ohsm365b-153wqxga-180hz-100srgb-4zrgb-2y2adp-blk-gb0555ax" TargetMode="External"/><Relationship Id="rId132" Type="http://schemas.openxmlformats.org/officeDocument/2006/relationships/hyperlink" Target="https://res.cloudinary.com/dbuug9eey/image/upload/v1765173405/products/jbdhsltgqkpfs2pwtb72.jpg" TargetMode="External"/><Relationship Id="rId131" Type="http://schemas.openxmlformats.org/officeDocument/2006/relationships/hyperlink" Target="https://www.agres.id/products/hp-14-i3-1315-8gb-512gb-w11ohsm365b-140fhd-blit-copilot-2y-gld-ep0260tu" TargetMode="External"/><Relationship Id="rId130" Type="http://schemas.openxmlformats.org/officeDocument/2006/relationships/hyperlink" Target="https://res.cloudinary.com/dbuug9eey/image/upload/v1771644141/products/xw0qa3j1l0ti0eyj52bc.jpg" TargetMode="External"/><Relationship Id="rId136" Type="http://schemas.openxmlformats.org/officeDocument/2006/relationships/hyperlink" Target="https://res.cloudinary.com/dbuug9eey/image/upload/v1771903671/products/gjlt28fffiykoh9cuihd.jpg" TargetMode="External"/><Relationship Id="rId135" Type="http://schemas.openxmlformats.org/officeDocument/2006/relationships/hyperlink" Target="https://www.agres.id/products/hp-omen-15-ga0888tx-i7-14650hx-24gb-1tb-rtx5060-8gb-w11-153wqxga-ips-180hz-blk" TargetMode="External"/><Relationship Id="rId134" Type="http://schemas.openxmlformats.org/officeDocument/2006/relationships/hyperlink" Target="https://res.cloudinary.com/dbuug9eey/image/upload/v1765367615/products/k4cjdpf80dtwrlrhtppr.jpg" TargetMode="External"/><Relationship Id="rId133" Type="http://schemas.openxmlformats.org/officeDocument/2006/relationships/hyperlink" Target="https://www.agres.id/products/hp-envy-x360-14-oled-ryzen-7-8840hs-32gb-1tb-w11ohs-140-28k-120hz-blit-pen-2yadp-2in1-slv--fa0888au" TargetMode="External"/><Relationship Id="rId62" Type="http://schemas.openxmlformats.org/officeDocument/2006/relationships/hyperlink" Target="https://www.agres.id/products/asus-rog-strix-g16-g614pr-ryzen-9-8940hx-rtx5070ti-12gb-16gb-1tb-w11ohsm365b-160fhd-165hz-gry--r9nt7c6g-hm" TargetMode="External"/><Relationship Id="rId61" Type="http://schemas.openxmlformats.org/officeDocument/2006/relationships/hyperlink" Target="https://res.cloudinary.com/dbuug9eey/image/upload/v1765624917/products/rl15m1mp7rsp98rkvkqh.jpg" TargetMode="External"/><Relationship Id="rId64" Type="http://schemas.openxmlformats.org/officeDocument/2006/relationships/hyperlink" Target="https://www.agres.id/products/asus-rog-strix-scar-16-g635lw-ultra-9-275hx-rtx5080-16gb-32gb-2tb-w11ohs-160-25k-miniled-240hz-pkrgbbox-mou-blk--i9n58mzt-hm" TargetMode="External"/><Relationship Id="rId63" Type="http://schemas.openxmlformats.org/officeDocument/2006/relationships/hyperlink" Target="https://res.cloudinary.com/dbuug9eey/image/upload/v1765623714/products/x5zbspwkrvkvfuqbwzkc.jpg" TargetMode="External"/><Relationship Id="rId66" Type="http://schemas.openxmlformats.org/officeDocument/2006/relationships/hyperlink" Target="https://www.agres.id/products/asus-rog-zephyrus-g14-oled-ga403uh-ryzen-9-270-rtx5050-8gb-32gb-1tb-w11ohsm365b-140-nebula-wqxga-120hz-gry--r9n55ol6g-hm" TargetMode="External"/><Relationship Id="rId172" Type="http://schemas.openxmlformats.org/officeDocument/2006/relationships/hyperlink" Target="https://www.agres.id/products/lenovo-ideapad-flex-5-14-touch-ryzen-7-5825-16gb-512gb-w11ohsm365b-140wuxga-pen-2yadp-gry--hwid" TargetMode="External"/><Relationship Id="rId65" Type="http://schemas.openxmlformats.org/officeDocument/2006/relationships/hyperlink" Target="https://res.cloudinary.com/dbuug9eey/image/upload/v1765852052/products/lm2sfawywljg48fwabhi.jpg" TargetMode="External"/><Relationship Id="rId171" Type="http://schemas.openxmlformats.org/officeDocument/2006/relationships/hyperlink" Target="https://res.cloudinary.com/dbuug9eey/image/upload/v1770204259/products/zdvxaqggmohptx8g5qrn.jpg" TargetMode="External"/><Relationship Id="rId68" Type="http://schemas.openxmlformats.org/officeDocument/2006/relationships/hyperlink" Target="https://www.agres.id/products/asus-rog-zephyrus-g16-oled-ga605kh-ryzen-ai-7-350-rtx5050-8gb-32gb-1tb-w11ohsm365b-160-nebula-oled-wqxga-25k-240hz-gry-r7n55ol6g-hm" TargetMode="External"/><Relationship Id="rId170" Type="http://schemas.openxmlformats.org/officeDocument/2006/relationships/hyperlink" Target="https://www.agres.id/products/lenovo-ideapad-5-2in1-touch-ultra-7-255-16gb-512gb-w11ohsm365b-140wuxga-luna-gry-63id" TargetMode="External"/><Relationship Id="rId67" Type="http://schemas.openxmlformats.org/officeDocument/2006/relationships/hyperlink" Target="https://res.cloudinary.com/dbuug9eey/image/upload/v1765765536/products/byegxhf8kx7iikw0esj9.jpg" TargetMode="External"/><Relationship Id="rId60" Type="http://schemas.openxmlformats.org/officeDocument/2006/relationships/hyperlink" Target="https://www.agres.id/products/asus-rog-strix-g16-g614fr-ryzen-9-9955hx3d-rtx5070ti-12gb-32gb-1tb-w11ohsm365b-160wqxga-240hz-100dcip3-box-mou-gry--r9nt7c6g-hm" TargetMode="External"/><Relationship Id="rId165" Type="http://schemas.openxmlformats.org/officeDocument/2006/relationships/hyperlink" Target="https://res.cloudinary.com/dbuug9eey/image/upload/v1765874690/products/yzjejjyhamdhjh6sv9a3.jpg" TargetMode="External"/><Relationship Id="rId69" Type="http://schemas.openxmlformats.org/officeDocument/2006/relationships/hyperlink" Target="https://res.cloudinary.com/dbuug9eey/image/upload/v1769238466/products/rlgg9rjatb7tqeyg4kh6.jpg" TargetMode="External"/><Relationship Id="rId164" Type="http://schemas.openxmlformats.org/officeDocument/2006/relationships/hyperlink" Target="https://www.agres.id/products/lenovo-ideapad-5-2in1-14-touch-ultra-5-225u-16gb-512gb-w11ohsm365b-140wuxga-pen-2y2adp-grey--38id" TargetMode="External"/><Relationship Id="rId163" Type="http://schemas.openxmlformats.org/officeDocument/2006/relationships/hyperlink" Target="https://res.cloudinary.com/dbuug9eey/image/upload/v1771411335/products/n8ik6e5ealzuglp8f0nv.jpg" TargetMode="External"/><Relationship Id="rId162" Type="http://schemas.openxmlformats.org/officeDocument/2006/relationships/hyperlink" Target="https://www.agres.id/products/lenovo-ideapad-5-2in1-14-oled-touch-i7-13620h-16gb-512gb-w11ohsm365b-140wuxga-pen-2y2adp-gry-8bid" TargetMode="External"/><Relationship Id="rId169" Type="http://schemas.openxmlformats.org/officeDocument/2006/relationships/hyperlink" Target="https://res.cloudinary.com/dbuug9eey/image/upload/v1765875214/products/rj8gqsh6crx5xsknox0f.jpg" TargetMode="External"/><Relationship Id="rId168" Type="http://schemas.openxmlformats.org/officeDocument/2006/relationships/hyperlink" Target="https://www.agres.id/products/lenovo-ideapad-5-2in1-14-touch-ultra-7-255u-16gb-512gb-w11ohsm365b-140wuxga-pen-2y2adp-grey--39id" TargetMode="External"/><Relationship Id="rId167" Type="http://schemas.openxmlformats.org/officeDocument/2006/relationships/hyperlink" Target="https://res.cloudinary.com/dbuug9eey/image/upload/v1773210988/products/m6ig46ham7dahidqztio.jpg" TargetMode="External"/><Relationship Id="rId166" Type="http://schemas.openxmlformats.org/officeDocument/2006/relationships/hyperlink" Target="https://www.agres.id/products/lenovo-ideapad-5-2in1-14-touch-ultra-5-225u-16gb-512gb-w11ohsm365b-140wuxga-pen-2y2adp-gry-61id" TargetMode="External"/><Relationship Id="rId51" Type="http://schemas.openxmlformats.org/officeDocument/2006/relationships/hyperlink" Target="https://www.agres.id/products/ibox-apple-macbook-pro-14-m5-10c-gpu-16gb-512gb-10c-cpu-140-space-black-mde04id" TargetMode="External"/><Relationship Id="rId50" Type="http://schemas.openxmlformats.org/officeDocument/2006/relationships/hyperlink" Target="https://res.cloudinary.com/dbuug9eey/image/upload/v1766834789/products/jupzz2nhrn35mkeuthmk.jpg" TargetMode="External"/><Relationship Id="rId53" Type="http://schemas.openxmlformats.org/officeDocument/2006/relationships/hyperlink" Target="https://www.agres.id/products/asus-expertbook-bg1409cva-i7-1355u-16gb-1tb-ssd-140-fhd-w11-3y-tkdn-s67110w" TargetMode="External"/><Relationship Id="rId52" Type="http://schemas.openxmlformats.org/officeDocument/2006/relationships/hyperlink" Target="https://www.agres.id/products/asus-expertbook-bg1409cva-i5-13334u-16gb-512gb-140fhd-w11pro-3y-tkdn-s65150x" TargetMode="External"/><Relationship Id="rId55" Type="http://schemas.openxmlformats.org/officeDocument/2006/relationships/hyperlink" Target="https://res.cloudinary.com/dbuug9eey/image/upload/v1765798344/products/svjxhintgbnjgznlfxtt.jpg" TargetMode="External"/><Relationship Id="rId161" Type="http://schemas.openxmlformats.org/officeDocument/2006/relationships/hyperlink" Target="https://res.cloudinary.com/dbuug9eey/image/upload/v1775033011/products/xhdrh0toexd36cwq9zj2.jpg" TargetMode="External"/><Relationship Id="rId54" Type="http://schemas.openxmlformats.org/officeDocument/2006/relationships/hyperlink" Target="https://www.agres.id/products/asus-gaming-v16-v3607vm-core-i7-240h-rtx5060-8gb-16gb-512gb-w11ohsm365-16wuxga-144hz-blk-i7n56b6t-hm" TargetMode="External"/><Relationship Id="rId160" Type="http://schemas.openxmlformats.org/officeDocument/2006/relationships/hyperlink" Target="https://www.agres.id/products/lenovo-ideapad-5-2in1-14-oled-touch-i7-13620h-16gb-512gb-w11ohsm365b-140wuxga-pen-2y2adp-blu-8aid" TargetMode="External"/><Relationship Id="rId57" Type="http://schemas.openxmlformats.org/officeDocument/2006/relationships/hyperlink" Target="https://res.cloudinary.com/dbuug9eey/image/upload/v1775896986/products/l3gv9bqaf8isizfcdenk.jpg" TargetMode="External"/><Relationship Id="rId56" Type="http://schemas.openxmlformats.org/officeDocument/2006/relationships/hyperlink" Target="https://www.agres.id/products/asus-proart-p16-oled-touch-h7606wm-ryzen-ai-9-370-rtx5060-8gb-32gb-1tb-w11ohsm365b-160-3k-black-oleds9312tm" TargetMode="External"/><Relationship Id="rId159" Type="http://schemas.openxmlformats.org/officeDocument/2006/relationships/hyperlink" Target="https://res.cloudinary.com/dbuug9eey/image/upload/v1764852363/products/nza5ym0rfxmhhweoweud.jpg" TargetMode="External"/><Relationship Id="rId59" Type="http://schemas.openxmlformats.org/officeDocument/2006/relationships/hyperlink" Target="https://res.cloudinary.com/dbuug9eey/image/upload/v1765626076/products/scfgupwvihbob8d9vypz.jpg" TargetMode="External"/><Relationship Id="rId154" Type="http://schemas.openxmlformats.org/officeDocument/2006/relationships/hyperlink" Target="https://res.cloudinary.com/dbuug9eey/image/upload/v1772074507/products/rskuiqcwow8yv8jis2xe.jpg" TargetMode="External"/><Relationship Id="rId58" Type="http://schemas.openxmlformats.org/officeDocument/2006/relationships/hyperlink" Target="https://www.agres.id/products/asus-rog-flow-z13-gz302ea-touch-ryzen-ai-max-395-32gb-1tb-w11ohs-134-25k-180hz-pen-2in1-blk--rza86n6g-hm" TargetMode="External"/><Relationship Id="rId153" Type="http://schemas.openxmlformats.org/officeDocument/2006/relationships/hyperlink" Target="https://www.agres.id/products/lenovo-ideapad-5-2in1-14-touch-oled-ryzen-ai-340-16gb-512gb-w11ohsm365b-140wuxga-cosmic-blu-64id" TargetMode="External"/><Relationship Id="rId152" Type="http://schemas.openxmlformats.org/officeDocument/2006/relationships/hyperlink" Target="https://res.cloudinary.com/dbuug9eey/image/upload/v1775011390/products/cfarrzvohw12s7knv7i2.jpg" TargetMode="External"/><Relationship Id="rId151" Type="http://schemas.openxmlformats.org/officeDocument/2006/relationships/hyperlink" Target="https://www.agres.id/products/infinix-inbook-air-pro-oled-i5-1334-16gb-512gb-w11-140-28k-120hz-1kg-gry" TargetMode="External"/><Relationship Id="rId158" Type="http://schemas.openxmlformats.org/officeDocument/2006/relationships/hyperlink" Target="https://www.agres.id/products/lenovo-ideapad-5-2in1-14-touch-oled-core-i7-150u-16gb-512gb-w11ohs-140wuxga-pen-2y2adp-blu--7pid" TargetMode="External"/><Relationship Id="rId157" Type="http://schemas.openxmlformats.org/officeDocument/2006/relationships/hyperlink" Target="https://www.agres.id/products/lenovo-ideapad-5-2in1-touch-i5-13420h-16gb-512gb-w11ohsm365b-140wuxga-luna-gry-89id" TargetMode="External"/><Relationship Id="rId156" Type="http://schemas.openxmlformats.org/officeDocument/2006/relationships/hyperlink" Target="https://res.cloudinary.com/dbuug9eey/image/upload/v1770204651/products/mtoeylxwhenimhrifdfp.jpg" TargetMode="External"/><Relationship Id="rId155" Type="http://schemas.openxmlformats.org/officeDocument/2006/relationships/hyperlink" Target="https://www.agres.id/products/lenovo-ideapad-5-2in1-touch-oled-ryzen-ai-5-340-16gb-512gb-w11ohsm365b-140wuxga-luna-gry-63id" TargetMode="External"/><Relationship Id="rId107" Type="http://schemas.openxmlformats.org/officeDocument/2006/relationships/hyperlink" Target="https://www.agres.id/products/asus-zenbook-14-oled-touch-ux3405ca-ultra-7-255h-32gb-1tb-w11ohsm365b-140wuxga-blu-oled7313tm" TargetMode="External"/><Relationship Id="rId228" Type="http://schemas.openxmlformats.org/officeDocument/2006/relationships/hyperlink" Target="https://res.cloudinary.com/dbuug9eey/image/upload/v1766214183/products/mszzvf3drntfhfmnrwsu.jpg" TargetMode="External"/><Relationship Id="rId106" Type="http://schemas.openxmlformats.org/officeDocument/2006/relationships/hyperlink" Target="https://res.cloudinary.com/dbuug9eey/image/upload/v1765165235/products/c46fynurhksnuxciy6ah.jpg" TargetMode="External"/><Relationship Id="rId227" Type="http://schemas.openxmlformats.org/officeDocument/2006/relationships/hyperlink" Target="https://www.agres.id/products/msi-stealth-a16-mercedes-amg-ai-ryzen-ai-9-hx-370-rtx5070-8gb-32gb-1tb-w11ohs-160qhd-oled-240hz-pkrgb-3yadp-gry" TargetMode="External"/><Relationship Id="rId105" Type="http://schemas.openxmlformats.org/officeDocument/2006/relationships/hyperlink" Target="https://www.agres.id/products/asus-zenbook-14-oled-touch-ux3405ca-ultra-5-225h-16gb-1tb-w11ohs-140-2k-evo-slv--oled5112tm" TargetMode="External"/><Relationship Id="rId226" Type="http://schemas.openxmlformats.org/officeDocument/2006/relationships/hyperlink" Target="https://res.cloudinary.com/dbuug9eey/image/upload/v1771900683/products/vusslgyfdgbrmmoy0ing.jpg" TargetMode="External"/><Relationship Id="rId104" Type="http://schemas.openxmlformats.org/officeDocument/2006/relationships/hyperlink" Target="https://res.cloudinary.com/dbuug9eey/image/upload/v1765164441/products/bu1ailxx0jluafodgash.jpg" TargetMode="External"/><Relationship Id="rId225" Type="http://schemas.openxmlformats.org/officeDocument/2006/relationships/hyperlink" Target="https://www.agres.id/products/msi-prestige-14-flip-ai-ultra-9-386h-32gb-1tb-w11ohsm365b-140wuxga-oled-touch-pen-blit-2y-gry-d3mtg014" TargetMode="External"/><Relationship Id="rId109" Type="http://schemas.openxmlformats.org/officeDocument/2006/relationships/hyperlink" Target="https://www.agres.id/products/asus-zenbook-14-oled-um3406ga-ryzen-ai-7-445-16gb-1tb-w11ohsm365b-140wuxga-120hz-blit-blk-oled7111m" TargetMode="External"/><Relationship Id="rId108" Type="http://schemas.openxmlformats.org/officeDocument/2006/relationships/hyperlink" Target="https://res.cloudinary.com/dbuug9eey/image/upload/v1775451342/products/k2gj526wtizsjg5vhaop.jpg" TargetMode="External"/><Relationship Id="rId229" Type="http://schemas.openxmlformats.org/officeDocument/2006/relationships/hyperlink" Target="https://www.agres.id/products/msi-vector-16hx-ai-ultra-9-275hx-rtx5080-16gb-16gb-1tb-w11ohs-160qhd-240hz-100dcip3-24zrgb-gray-a2xwig043" TargetMode="External"/><Relationship Id="rId220" Type="http://schemas.openxmlformats.org/officeDocument/2006/relationships/hyperlink" Target="https://res.cloudinary.com/dbuug9eey/image/upload/v1766218691/products/z1f9doced6bem1okhpmb.jpg" TargetMode="External"/><Relationship Id="rId103" Type="http://schemas.openxmlformats.org/officeDocument/2006/relationships/hyperlink" Target="https://www.agres.id/products/asus-zenbook-14-oled-touch-ux3405ca-ultra-5-225h-16gb-1tb-w11ohs-140-2k-evo-blu--oled5111tm" TargetMode="External"/><Relationship Id="rId224" Type="http://schemas.openxmlformats.org/officeDocument/2006/relationships/hyperlink" Target="https://res.cloudinary.com/dbuug9eey/image/upload/v1775875081/products/h0zcvolv7uon8phm1aql.jpg" TargetMode="External"/><Relationship Id="rId102" Type="http://schemas.openxmlformats.org/officeDocument/2006/relationships/hyperlink" Target="https://www.agres.id/products/asus-vivobook-go-e410ka-n4500-8gb-256gb-w11ohsm365b-140fhd-blk--fhd4821m" TargetMode="External"/><Relationship Id="rId223" Type="http://schemas.openxmlformats.org/officeDocument/2006/relationships/hyperlink" Target="https://www.agres.id/products/msi-modern-14-i3-1315-8gb-512gb-w11-140fhd-blit-ips-2y-gry-f13mg818" TargetMode="External"/><Relationship Id="rId101" Type="http://schemas.openxmlformats.org/officeDocument/2006/relationships/hyperlink" Target="https://res.cloudinary.com/dbuug9eey/image/upload/v1769830627/products/njua0oqa3rpfw6pfbkff.jpg" TargetMode="External"/><Relationship Id="rId222" Type="http://schemas.openxmlformats.org/officeDocument/2006/relationships/hyperlink" Target="https://res.cloudinary.com/dbuug9eey/image/upload/v1779003856/products/syhyvwwllkpj0zefzr3k.jpg" TargetMode="External"/><Relationship Id="rId100" Type="http://schemas.openxmlformats.org/officeDocument/2006/relationships/hyperlink" Target="https://www.agres.id/products/asus-vivobook-go-14-e410ka-n4500-8gb-256gb-w11ohsm365b-140fhd-blit-blu--fhd426m" TargetMode="External"/><Relationship Id="rId221" Type="http://schemas.openxmlformats.org/officeDocument/2006/relationships/hyperlink" Target="https://www.agres.id/products/msi-katana-15-hx-i7-14650hx-rtx5060-8gb-16gb-512gb-w11ohs-156qhd-165hz-100dcip3-4zrgb-2yadp-black" TargetMode="External"/><Relationship Id="rId217" Type="http://schemas.openxmlformats.org/officeDocument/2006/relationships/hyperlink" Target="https://www.agres.id/products/msi-crosshair-a16-hx-ryzen-9-7945hx-rtx5070-8gb-16gb-512gb-w11ohs-160qhd-240hz-100dcip3-24zrgb-2yadp-gry-d7wgkg047" TargetMode="External"/><Relationship Id="rId216" Type="http://schemas.openxmlformats.org/officeDocument/2006/relationships/hyperlink" Target="https://res.cloudinary.com/dbuug9eey/image/upload/v1768899504/products/zkivzxxaw0tzdcm4niy7.jpg" TargetMode="External"/><Relationship Id="rId215" Type="http://schemas.openxmlformats.org/officeDocument/2006/relationships/hyperlink" Target="https://www.agres.id/products/lenovo-yoga-slim-7-aura-edition-ultra-5-226v-16gb-512gb-w11ohsm365b-140wuxga-oled-evo-3y-prem3adp-seashell-awid" TargetMode="External"/><Relationship Id="rId214" Type="http://schemas.openxmlformats.org/officeDocument/2006/relationships/hyperlink" Target="https://res.cloudinary.com/dbuug9eey/image/upload/v1766060813/products/fwablzpz6i5voyfgskeg.jpg" TargetMode="External"/><Relationship Id="rId219" Type="http://schemas.openxmlformats.org/officeDocument/2006/relationships/hyperlink" Target="https://www.agres.id/products/msi-katana-15-hx-i7-14650hx-rtx5050-8gb-16gb-512gb-w11ohs-156qhd-165hz-100dcip3-4zrgb-2yadp-black" TargetMode="External"/><Relationship Id="rId218" Type="http://schemas.openxmlformats.org/officeDocument/2006/relationships/hyperlink" Target="https://res.cloudinary.com/dbuug9eey/image/upload/v1766206786/products/gefbnmz2p51ctbejwlbi.jpg" TargetMode="External"/><Relationship Id="rId213" Type="http://schemas.openxmlformats.org/officeDocument/2006/relationships/hyperlink" Target="https://www.agres.id/products/lenovo-yoga-slim-7-14-touch-ultra-5-125h-16gb-512gb-w11ohsm365b-140wuxga-oled-evo-3y-prem3adp-gry-dmid" TargetMode="External"/><Relationship Id="rId212" Type="http://schemas.openxmlformats.org/officeDocument/2006/relationships/hyperlink" Target="https://res.cloudinary.com/dbuug9eey/image/upload/v1764910118/products/rv9lgb18pd26uffyhthl.jpg" TargetMode="External"/><Relationship Id="rId211" Type="http://schemas.openxmlformats.org/officeDocument/2006/relationships/hyperlink" Target="https://www.agres.id/products/lenovo-yoga-book-9-ultra-9-285h-32gb-1tb-w11ohsm365-2-x-140-28k-wqxga-oled-120hz-box-kbmousle-3y3adp-tidal-teal--25id" TargetMode="External"/><Relationship Id="rId210" Type="http://schemas.openxmlformats.org/officeDocument/2006/relationships/hyperlink" Target="https://res.cloudinary.com/dbuug9eey/image/upload/v1772595129/products/o8t7rvrffq0gmfydotov.jpg" TargetMode="External"/><Relationship Id="rId129" Type="http://schemas.openxmlformats.org/officeDocument/2006/relationships/hyperlink" Target="https://www.agres.id/products/dell-pro-14-essential-pv14255-ryzen-5-220-8gb-512gb-140-wuxga-w11pro-2y-black" TargetMode="External"/><Relationship Id="rId128" Type="http://schemas.openxmlformats.org/officeDocument/2006/relationships/hyperlink" Target="https://res.cloudinary.com/dbuug9eey/image/upload/v1765791694/products/yqq8s3yb1wxi9ksacp9v.jpg" TargetMode="External"/><Relationship Id="rId127" Type="http://schemas.openxmlformats.org/officeDocument/2006/relationships/hyperlink" Target="https://www.agres.id/products/axioo-pongo-775-i7-13620h-rtx5070-8gb-16gb-512gb-w11-160qhd-180hz-100srgb-rgb-3y-blk" TargetMode="External"/><Relationship Id="rId126" Type="http://schemas.openxmlformats.org/officeDocument/2006/relationships/hyperlink" Target="https://res.cloudinary.com/dbuug9eey/image/upload/v1773288068/products/hsk8cauwgvip4asswpff.jpg" TargetMode="External"/><Relationship Id="rId121" Type="http://schemas.openxmlformats.org/officeDocument/2006/relationships/hyperlink" Target="https://www.agres.id/products/axioo-hype-7-amd-x8-1-ryzen-7-6800h-16gb-512gb-w11-140fhd-ips-blit-hdmi-gry" TargetMode="External"/><Relationship Id="rId120" Type="http://schemas.openxmlformats.org/officeDocument/2006/relationships/hyperlink" Target="https://res.cloudinary.com/dbuug9eey/image/upload/v1772532605/products/bivaustcljqozkibkrz6.jpg" TargetMode="External"/><Relationship Id="rId125" Type="http://schemas.openxmlformats.org/officeDocument/2006/relationships/hyperlink" Target="https://www.agres.id/products/axioo-pongo-725-v2-i7-13620h-rtx2050-4gb-16gb-512gb-w11-156fhd-144hz-ips-3y-blk-1" TargetMode="External"/><Relationship Id="rId124" Type="http://schemas.openxmlformats.org/officeDocument/2006/relationships/hyperlink" Target="https://res.cloudinary.com/dbuug9eey/image/upload/v1775797740/products/yvgqaeikwt2frp40bl3k.jpg" TargetMode="External"/><Relationship Id="rId123" Type="http://schemas.openxmlformats.org/officeDocument/2006/relationships/hyperlink" Target="https://www.agres.id/products/axioo-hype-r-5-touch-i5-1235-24gb-512gb-w11-140fhd-ips-gry-1kg" TargetMode="External"/><Relationship Id="rId122" Type="http://schemas.openxmlformats.org/officeDocument/2006/relationships/hyperlink" Target="https://res.cloudinary.com/dbuug9eey/image/upload/v1769394050/products/eq915j5jdau4dc9c2xta.jpg" TargetMode="External"/><Relationship Id="rId95" Type="http://schemas.openxmlformats.org/officeDocument/2006/relationships/hyperlink" Target="https://res.cloudinary.com/dbuug9eey/image/upload/v1773204278/products/jih2e4gv0nbt7oa2tnsf.jpg" TargetMode="External"/><Relationship Id="rId94" Type="http://schemas.openxmlformats.org/officeDocument/2006/relationships/hyperlink" Target="https://www.agres.id/products/asus-vivobook-14-flip-oled-tp3407sa-ultra-7-256v-16gb-512gb-w11ohsm365b-140-2k-touch-pen-2in1-gry--oled7151m" TargetMode="External"/><Relationship Id="rId97" Type="http://schemas.openxmlformats.org/officeDocument/2006/relationships/hyperlink" Target="https://res.cloudinary.com/dbuug9eey/image/upload/v1775640340/products/xzxdppohxicbwbwjirw9.jpg" TargetMode="External"/><Relationship Id="rId96" Type="http://schemas.openxmlformats.org/officeDocument/2006/relationships/hyperlink" Target="https://www.agres.id/products/asus-vivobook-15-a1504vap-core-5-120u-16gb-512gb-w11ohsm365b-156fhd-ips-vips-terracotta-vips5152tm" TargetMode="External"/><Relationship Id="rId99" Type="http://schemas.openxmlformats.org/officeDocument/2006/relationships/hyperlink" Target="https://res.cloudinary.com/dbuug9eey/image/upload/v1775301473/products/ntokg1b5nwo9khco7oze.jpg" TargetMode="External"/><Relationship Id="rId98" Type="http://schemas.openxmlformats.org/officeDocument/2006/relationships/hyperlink" Target="https://www.agres.id/products/asus-vivobook-16-m1605naq-ryzen-5-150-16gb-512gb-w11ohsm365-160wuxga-oled-blit-blk-oled5151m" TargetMode="External"/><Relationship Id="rId91" Type="http://schemas.openxmlformats.org/officeDocument/2006/relationships/hyperlink" Target="https://res.cloudinary.com/dbuug9eey/image/upload/v1775878071/products/zb4gqsjmchu1uqfpd5zd.jpg" TargetMode="External"/><Relationship Id="rId90" Type="http://schemas.openxmlformats.org/officeDocument/2006/relationships/hyperlink" Target="https://www.agres.id/products/asus-vivobook-14-a1404vap-core-i7-150u-16gb-512gb-w11ohsm365b-140fhd-vips-silver-vips7156m" TargetMode="External"/><Relationship Id="rId93" Type="http://schemas.openxmlformats.org/officeDocument/2006/relationships/hyperlink" Target="https://res.cloudinary.com/dbuug9eey/image/upload/v1774603365/products/ovnzkga8p62bz6ehixap.jpg" TargetMode="External"/><Relationship Id="rId92" Type="http://schemas.openxmlformats.org/officeDocument/2006/relationships/hyperlink" Target="https://www.agres.id/products/asus-vivobook-14-a1404vap-core-i7-150u-8gb-512gb-w11ohsm365b-140fhd-blit-vips-blu-vips7854m" TargetMode="External"/><Relationship Id="rId118" Type="http://schemas.openxmlformats.org/officeDocument/2006/relationships/hyperlink" Target="https://res.cloudinary.com/dbuug9eey/image/upload/v1765952829/products/aunqub13frbczanzy01a.jpg" TargetMode="External"/><Relationship Id="rId117" Type="http://schemas.openxmlformats.org/officeDocument/2006/relationships/hyperlink" Target="https://www.agres.id/products/axioo-hype-5-amd-x6-ryzen-5-6600h-16gb-512gb-w11-140fhd-ips-blit-hdmi-gry" TargetMode="External"/><Relationship Id="rId116" Type="http://schemas.openxmlformats.org/officeDocument/2006/relationships/hyperlink" Target="https://res.cloudinary.com/dbuug9eey/image/upload/v1775025218/products/bst7mghicvolr6wgiiza.jpg" TargetMode="External"/><Relationship Id="rId115" Type="http://schemas.openxmlformats.org/officeDocument/2006/relationships/hyperlink" Target="https://www.agres.id/products/asus-zenbook-s14-oled-3k-touch-ux5406sa-ultra-7-258v-32gb-1tb-w11ohsm365b-140-3k-120hz-slv--oleds7312tm" TargetMode="External"/><Relationship Id="rId119" Type="http://schemas.openxmlformats.org/officeDocument/2006/relationships/hyperlink" Target="https://www.agres.id/products/axioo-hype-7-ryzen-7-5700-8gb-512gb-w11pro-140fhd-gry" TargetMode="External"/><Relationship Id="rId110" Type="http://schemas.openxmlformats.org/officeDocument/2006/relationships/hyperlink" Target="https://res.cloudinary.com/dbuug9eey/image/upload/v1770006764/products/vqnteo1x6wfmxdenrwkg.jpg" TargetMode="External"/><Relationship Id="rId231" Type="http://schemas.openxmlformats.org/officeDocument/2006/relationships/hyperlink" Target="https://www.agres.id/products/msi-venture-14-ai-oled-ultra-7-155h-16gb-1tb-w11ohs-140-28k-120hz-2yadp-gry--a1mg007" TargetMode="External"/><Relationship Id="rId230" Type="http://schemas.openxmlformats.org/officeDocument/2006/relationships/hyperlink" Target="https://res.cloudinary.com/dbuug9eey/image/upload/v1766128091/products/lc2pyz3uisagjoaorheq.jpg" TargetMode="External"/><Relationship Id="rId114" Type="http://schemas.openxmlformats.org/officeDocument/2006/relationships/hyperlink" Target="https://res.cloudinary.com/dbuug9eey/image/upload/v1772536646/products/j5a69bki1umhg8ryqk30.jpg" TargetMode="External"/><Relationship Id="rId113" Type="http://schemas.openxmlformats.org/officeDocument/2006/relationships/hyperlink" Target="https://www.agres.id/products/asus-zenbook-duo-ux8406ca-oled-touch-ultra-9-285h-32gb-1tb-w11ohs-dual-140-3kfhd-120hz-pen-gry-oled9311tm" TargetMode="External"/><Relationship Id="rId112" Type="http://schemas.openxmlformats.org/officeDocument/2006/relationships/hyperlink" Target="https://res.cloudinary.com/dbuug9eey/image/upload/v1765793321/products/p92esf39b66hlx6669oa.jpg" TargetMode="External"/><Relationship Id="rId233" Type="http://schemas.openxmlformats.org/officeDocument/2006/relationships/drawing" Target="../drawings/drawing1.xml"/><Relationship Id="rId111" Type="http://schemas.openxmlformats.org/officeDocument/2006/relationships/hyperlink" Target="https://www.agres.id/products/asus-zenbook-14-oled-um3406ka-ryzen-ai-7-350-32gb-1tb-w11ohs-140-blk--oleds7311m" TargetMode="External"/><Relationship Id="rId232" Type="http://schemas.openxmlformats.org/officeDocument/2006/relationships/hyperlink" Target="https://res.cloudinary.com/dbuug9eey/image/upload/v1775278093/products/hlmffd2gdrmss6tajjsr.jpg" TargetMode="External"/><Relationship Id="rId206" Type="http://schemas.openxmlformats.org/officeDocument/2006/relationships/hyperlink" Target="https://res.cloudinary.com/dbuug9eey/image/upload/v1766037077/products/c4kuvmw1lqxj9n1rwia7.jpg" TargetMode="External"/><Relationship Id="rId205" Type="http://schemas.openxmlformats.org/officeDocument/2006/relationships/hyperlink" Target="https://www.agres.id/products/lenovo-yoga-7-2in1-14-ultra-7-155h-16gb-1tb-w11ohsm365b-140-28k-oled-120hz-pen-3y-prem3adp-teal--ggid" TargetMode="External"/><Relationship Id="rId204" Type="http://schemas.openxmlformats.org/officeDocument/2006/relationships/hyperlink" Target="https://res.cloudinary.com/dbuug9eey/image/upload/v1764907787/products/jjtjdfo8ic3gaipnvcli.jpg" TargetMode="External"/><Relationship Id="rId203" Type="http://schemas.openxmlformats.org/officeDocument/2006/relationships/hyperlink" Target="https://www.agres.id/products/lenovo-yoga-7-2in1-14-ultra-5-226v-16gb-512gb-w11ohsm365b-140wuxga-oled-pen-3y-prem3adp-seashell--7nid" TargetMode="External"/><Relationship Id="rId209" Type="http://schemas.openxmlformats.org/officeDocument/2006/relationships/hyperlink" Target="https://www.agres.id/products/lenovo-yoga-7-2in1-14-ultra-7-256v-16gb-1tb-w11ohsm365b-140-28k-oled-120hz-pen-3y-prem3adp-seashell--7did" TargetMode="External"/><Relationship Id="rId208" Type="http://schemas.openxmlformats.org/officeDocument/2006/relationships/hyperlink" Target="https://res.cloudinary.com/dbuug9eey/image/upload/v1767080263/products/fnesexhzb3q4jt7emmke.jpg" TargetMode="External"/><Relationship Id="rId207" Type="http://schemas.openxmlformats.org/officeDocument/2006/relationships/hyperlink" Target="https://www.agres.id/products/lenovo-yoga-7-2in1-14-ultra-7-256v-16gb-1tb-w11ohs-140-28k-oled-120hz-pen-3y-prem3adp-seashell--3wid" TargetMode="External"/><Relationship Id="rId202" Type="http://schemas.openxmlformats.org/officeDocument/2006/relationships/hyperlink" Target="https://res.cloudinary.com/dbuug9eey/image/upload/v1767063685/products/hgtb1ldw4f5plmey8zil.jpg" TargetMode="External"/><Relationship Id="rId201" Type="http://schemas.openxmlformats.org/officeDocument/2006/relationships/hyperlink" Target="https://www.agres.id/products/lenovo-yoga-7-2in1-14-ryzen-ai-7-350-16gb-1tb-w11ohsm365b-140wuxga-oled-pen-sleeve-3y-prem3adp-teal-9uid" TargetMode="External"/><Relationship Id="rId200" Type="http://schemas.openxmlformats.org/officeDocument/2006/relationships/hyperlink" Target="https://res.cloudinary.com/dbuug9eey/image/upload/v1770690687/products/l0jsu7c92oc4pdazvyhl.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33.63"/>
    <col customWidth="1" min="3" max="3" width="7.0"/>
    <col customWidth="1" min="4" max="4" width="12.88"/>
    <col customWidth="1" min="5" max="5" width="13.88"/>
    <col customWidth="1" min="6" max="6" width="14.0"/>
    <col customWidth="1" min="7" max="7" width="29.0"/>
    <col customWidth="1" min="8" max="8" width="9.5"/>
    <col customWidth="1" min="9" max="9" width="26.0"/>
    <col customWidth="1" min="10" max="10" width="9.38"/>
    <col customWidth="1" min="11" max="11" width="6.25"/>
    <col customWidth="1" min="12" max="12" width="12.88"/>
    <col customWidth="1" min="13" max="13" width="9.63"/>
    <col customWidth="1" min="14" max="14" width="12.25"/>
    <col customWidth="1" min="15" max="15" width="20.0"/>
    <col customWidth="1" min="16" max="16" width="16.75"/>
    <col customWidth="1" min="17" max="17" width="7.0"/>
    <col customWidth="1" min="18" max="18" width="13.25"/>
    <col customWidth="1" min="19" max="19" width="12.5"/>
    <col customWidth="1" min="20" max="20" width="20.38"/>
    <col customWidth="1" min="21" max="21" width="15.75"/>
    <col customWidth="1" min="22" max="22" width="24.0"/>
    <col customWidth="1" min="23" max="25" width="65.13"/>
    <col customWidth="1" min="26" max="28" width="31.88"/>
  </cols>
  <sheetData>
    <row r="1">
      <c r="A1" s="1" t="s">
        <v>0</v>
      </c>
      <c r="B1" s="2" t="s">
        <v>1</v>
      </c>
      <c r="C1" s="2" t="s">
        <v>2</v>
      </c>
      <c r="D1" s="3" t="s">
        <v>3</v>
      </c>
      <c r="E1" s="4" t="s">
        <v>4</v>
      </c>
      <c r="F1" s="2" t="s">
        <v>5</v>
      </c>
      <c r="G1" s="2" t="s">
        <v>6</v>
      </c>
      <c r="H1" s="2" t="s">
        <v>7</v>
      </c>
      <c r="I1" s="2" t="s">
        <v>8</v>
      </c>
      <c r="J1" s="2" t="s">
        <v>9</v>
      </c>
      <c r="K1" s="2" t="s">
        <v>10</v>
      </c>
      <c r="L1" s="5" t="s">
        <v>11</v>
      </c>
      <c r="M1" s="2" t="s">
        <v>12</v>
      </c>
      <c r="N1" s="2" t="s">
        <v>13</v>
      </c>
      <c r="O1" s="6" t="s">
        <v>14</v>
      </c>
      <c r="P1" s="2" t="s">
        <v>15</v>
      </c>
      <c r="Q1" s="2" t="s">
        <v>16</v>
      </c>
      <c r="R1" s="5" t="s">
        <v>17</v>
      </c>
      <c r="S1" s="2" t="s">
        <v>18</v>
      </c>
      <c r="T1" s="7" t="s">
        <v>19</v>
      </c>
      <c r="U1" s="2" t="s">
        <v>20</v>
      </c>
      <c r="V1" s="2" t="s">
        <v>21</v>
      </c>
      <c r="W1" s="1" t="s">
        <v>22</v>
      </c>
      <c r="X1" s="1" t="s">
        <v>23</v>
      </c>
      <c r="Y1" s="8" t="s">
        <v>24</v>
      </c>
      <c r="Z1" s="1" t="s">
        <v>25</v>
      </c>
      <c r="AA1" s="9" t="s">
        <v>26</v>
      </c>
      <c r="AB1" s="10" t="s">
        <v>27</v>
      </c>
      <c r="AC1" s="11"/>
      <c r="AD1" s="11"/>
      <c r="AE1" s="11"/>
      <c r="AF1" s="11"/>
      <c r="AG1" s="11"/>
    </row>
    <row r="2">
      <c r="A2" s="12" t="s">
        <v>28</v>
      </c>
      <c r="B2" s="13" t="s">
        <v>29</v>
      </c>
      <c r="C2" s="13" t="s">
        <v>30</v>
      </c>
      <c r="D2" s="14" t="s">
        <v>31</v>
      </c>
      <c r="E2" s="15">
        <f t="shared" ref="E2:E120" si="1">VALUE(SUBSTITUTE(D2, ",", ""))</f>
        <v>9249000</v>
      </c>
      <c r="F2" s="13" t="s">
        <v>32</v>
      </c>
      <c r="G2" s="13" t="s">
        <v>33</v>
      </c>
      <c r="H2" s="13" t="s">
        <v>34</v>
      </c>
      <c r="I2" s="13" t="s">
        <v>35</v>
      </c>
      <c r="J2" s="13" t="s">
        <v>34</v>
      </c>
      <c r="K2" s="13" t="s">
        <v>36</v>
      </c>
      <c r="L2" s="16">
        <f t="shared" ref="L2:L120" si="2">VALUE(SUBSTITUTE(K2, " GB", ""))</f>
        <v>16</v>
      </c>
      <c r="M2" s="13" t="s">
        <v>37</v>
      </c>
      <c r="N2" s="13" t="s">
        <v>38</v>
      </c>
      <c r="O2" s="17">
        <f t="shared" ref="O2:O120" si="3">VALUE(LEFT(N2, SEARCH(" ", N2)-1)) * IF(ISNUMBER(SEARCH("TB", N2)), 1024, 1)</f>
        <v>512</v>
      </c>
      <c r="P2" s="13" t="s">
        <v>39</v>
      </c>
      <c r="Q2" s="13" t="s">
        <v>40</v>
      </c>
      <c r="R2" s="18">
        <f t="shared" ref="R2:R120" si="4">VALUE(SUBSTITUTE(Q2, " kg", ""))</f>
        <v>1.49</v>
      </c>
      <c r="S2" s="13" t="s">
        <v>41</v>
      </c>
      <c r="T2" s="19">
        <f t="shared" ref="T2:T7" si="5">VALUE(SUBSTITUTE(S2, " Inch", ""))</f>
        <v>14</v>
      </c>
      <c r="U2" s="13" t="s">
        <v>42</v>
      </c>
      <c r="V2" s="13" t="s">
        <v>43</v>
      </c>
      <c r="W2" s="12" t="s">
        <v>44</v>
      </c>
      <c r="X2" s="20" t="s">
        <v>45</v>
      </c>
      <c r="Y2" s="21" t="s">
        <v>46</v>
      </c>
      <c r="Z2" s="12" t="s">
        <v>47</v>
      </c>
      <c r="AA2" s="22" t="s">
        <v>48</v>
      </c>
      <c r="AB2" s="23" t="s">
        <v>49</v>
      </c>
    </row>
    <row r="3">
      <c r="A3" s="12" t="s">
        <v>50</v>
      </c>
      <c r="B3" s="13" t="s">
        <v>29</v>
      </c>
      <c r="C3" s="13" t="s">
        <v>30</v>
      </c>
      <c r="D3" s="14" t="s">
        <v>51</v>
      </c>
      <c r="E3" s="15">
        <f t="shared" si="1"/>
        <v>12399000</v>
      </c>
      <c r="F3" s="13" t="s">
        <v>32</v>
      </c>
      <c r="G3" s="13" t="s">
        <v>52</v>
      </c>
      <c r="H3" s="13" t="s">
        <v>34</v>
      </c>
      <c r="I3" s="13" t="s">
        <v>53</v>
      </c>
      <c r="J3" s="13" t="s">
        <v>34</v>
      </c>
      <c r="K3" s="13" t="s">
        <v>36</v>
      </c>
      <c r="L3" s="16">
        <f t="shared" si="2"/>
        <v>16</v>
      </c>
      <c r="M3" s="13" t="s">
        <v>54</v>
      </c>
      <c r="N3" s="13" t="s">
        <v>38</v>
      </c>
      <c r="O3" s="17">
        <f t="shared" si="3"/>
        <v>512</v>
      </c>
      <c r="P3" s="13" t="s">
        <v>39</v>
      </c>
      <c r="Q3" s="13" t="s">
        <v>55</v>
      </c>
      <c r="R3" s="18">
        <f t="shared" si="4"/>
        <v>1.5</v>
      </c>
      <c r="S3" s="13" t="s">
        <v>41</v>
      </c>
      <c r="T3" s="19">
        <f t="shared" si="5"/>
        <v>14</v>
      </c>
      <c r="U3" s="13" t="s">
        <v>42</v>
      </c>
      <c r="V3" s="13" t="s">
        <v>43</v>
      </c>
      <c r="W3" s="12" t="s">
        <v>56</v>
      </c>
      <c r="X3" s="20" t="s">
        <v>57</v>
      </c>
      <c r="Y3" s="21" t="s">
        <v>58</v>
      </c>
      <c r="Z3" s="12" t="s">
        <v>59</v>
      </c>
      <c r="AA3" s="22" t="s">
        <v>60</v>
      </c>
      <c r="AB3" s="23" t="s">
        <v>61</v>
      </c>
    </row>
    <row r="4">
      <c r="A4" s="12" t="s">
        <v>62</v>
      </c>
      <c r="B4" s="13" t="s">
        <v>63</v>
      </c>
      <c r="C4" s="13" t="s">
        <v>30</v>
      </c>
      <c r="D4" s="14" t="s">
        <v>64</v>
      </c>
      <c r="E4" s="15">
        <f t="shared" si="1"/>
        <v>8999000</v>
      </c>
      <c r="F4" s="13" t="s">
        <v>32</v>
      </c>
      <c r="G4" s="13" t="s">
        <v>65</v>
      </c>
      <c r="H4" s="13" t="s">
        <v>34</v>
      </c>
      <c r="I4" s="13" t="s">
        <v>66</v>
      </c>
      <c r="J4" s="13" t="s">
        <v>34</v>
      </c>
      <c r="K4" s="13" t="s">
        <v>67</v>
      </c>
      <c r="L4" s="16">
        <f t="shared" si="2"/>
        <v>8</v>
      </c>
      <c r="M4" s="13" t="s">
        <v>68</v>
      </c>
      <c r="N4" s="13" t="s">
        <v>38</v>
      </c>
      <c r="O4" s="17">
        <f t="shared" si="3"/>
        <v>512</v>
      </c>
      <c r="P4" s="13" t="s">
        <v>39</v>
      </c>
      <c r="Q4" s="13" t="s">
        <v>55</v>
      </c>
      <c r="R4" s="18">
        <f t="shared" si="4"/>
        <v>1.5</v>
      </c>
      <c r="S4" s="13" t="s">
        <v>41</v>
      </c>
      <c r="T4" s="19">
        <f t="shared" si="5"/>
        <v>14</v>
      </c>
      <c r="U4" s="13" t="s">
        <v>42</v>
      </c>
      <c r="V4" s="13" t="s">
        <v>43</v>
      </c>
      <c r="W4" s="12" t="s">
        <v>69</v>
      </c>
      <c r="X4" s="20" t="s">
        <v>70</v>
      </c>
      <c r="Y4" s="24" t="s">
        <v>71</v>
      </c>
      <c r="Z4" s="12" t="s">
        <v>72</v>
      </c>
      <c r="AA4" s="22" t="s">
        <v>73</v>
      </c>
      <c r="AB4" s="23" t="s">
        <v>74</v>
      </c>
    </row>
    <row r="5">
      <c r="A5" s="12" t="s">
        <v>75</v>
      </c>
      <c r="B5" s="13" t="s">
        <v>76</v>
      </c>
      <c r="C5" s="13" t="s">
        <v>30</v>
      </c>
      <c r="D5" s="14" t="s">
        <v>77</v>
      </c>
      <c r="E5" s="15">
        <f t="shared" si="1"/>
        <v>6449000</v>
      </c>
      <c r="F5" s="13" t="s">
        <v>32</v>
      </c>
      <c r="G5" s="13" t="s">
        <v>33</v>
      </c>
      <c r="H5" s="13" t="s">
        <v>34</v>
      </c>
      <c r="I5" s="13" t="s">
        <v>78</v>
      </c>
      <c r="J5" s="13" t="s">
        <v>34</v>
      </c>
      <c r="K5" s="13" t="s">
        <v>67</v>
      </c>
      <c r="L5" s="16">
        <f t="shared" si="2"/>
        <v>8</v>
      </c>
      <c r="M5" s="13" t="s">
        <v>79</v>
      </c>
      <c r="N5" s="13" t="s">
        <v>38</v>
      </c>
      <c r="O5" s="17">
        <f t="shared" si="3"/>
        <v>512</v>
      </c>
      <c r="P5" s="13" t="s">
        <v>39</v>
      </c>
      <c r="Q5" s="13" t="s">
        <v>80</v>
      </c>
      <c r="R5" s="18">
        <f t="shared" si="4"/>
        <v>1.35</v>
      </c>
      <c r="S5" s="13" t="s">
        <v>41</v>
      </c>
      <c r="T5" s="19">
        <f t="shared" si="5"/>
        <v>14</v>
      </c>
      <c r="U5" s="13" t="s">
        <v>42</v>
      </c>
      <c r="V5" s="13" t="s">
        <v>81</v>
      </c>
      <c r="W5" s="12" t="s">
        <v>82</v>
      </c>
      <c r="X5" s="25" t="s">
        <v>83</v>
      </c>
      <c r="Y5" s="21" t="s">
        <v>84</v>
      </c>
      <c r="Z5" s="12" t="s">
        <v>72</v>
      </c>
      <c r="AA5" s="22" t="s">
        <v>85</v>
      </c>
      <c r="AB5" s="23" t="s">
        <v>86</v>
      </c>
    </row>
    <row r="6">
      <c r="A6" s="12" t="s">
        <v>87</v>
      </c>
      <c r="B6" s="13" t="s">
        <v>76</v>
      </c>
      <c r="C6" s="13" t="s">
        <v>30</v>
      </c>
      <c r="D6" s="14" t="s">
        <v>88</v>
      </c>
      <c r="E6" s="15">
        <f t="shared" si="1"/>
        <v>7649000</v>
      </c>
      <c r="F6" s="13" t="s">
        <v>32</v>
      </c>
      <c r="G6" s="13" t="s">
        <v>89</v>
      </c>
      <c r="H6" s="13" t="s">
        <v>90</v>
      </c>
      <c r="I6" s="13" t="s">
        <v>91</v>
      </c>
      <c r="J6" s="13" t="s">
        <v>90</v>
      </c>
      <c r="K6" s="13" t="s">
        <v>67</v>
      </c>
      <c r="L6" s="16">
        <f t="shared" si="2"/>
        <v>8</v>
      </c>
      <c r="M6" s="13" t="s">
        <v>79</v>
      </c>
      <c r="N6" s="13" t="s">
        <v>38</v>
      </c>
      <c r="O6" s="17">
        <f t="shared" si="3"/>
        <v>512</v>
      </c>
      <c r="P6" s="13" t="s">
        <v>39</v>
      </c>
      <c r="Q6" s="13" t="s">
        <v>55</v>
      </c>
      <c r="R6" s="18">
        <f t="shared" si="4"/>
        <v>1.5</v>
      </c>
      <c r="S6" s="13" t="s">
        <v>41</v>
      </c>
      <c r="T6" s="19">
        <f t="shared" si="5"/>
        <v>14</v>
      </c>
      <c r="U6" s="13" t="s">
        <v>42</v>
      </c>
      <c r="V6" s="13" t="s">
        <v>43</v>
      </c>
      <c r="W6" s="12" t="s">
        <v>92</v>
      </c>
      <c r="X6" s="20" t="s">
        <v>93</v>
      </c>
      <c r="Y6" s="21" t="s">
        <v>94</v>
      </c>
      <c r="Z6" s="12" t="s">
        <v>95</v>
      </c>
      <c r="AA6" s="22" t="s">
        <v>96</v>
      </c>
      <c r="AB6" s="23" t="s">
        <v>97</v>
      </c>
    </row>
    <row r="7">
      <c r="A7" s="12" t="s">
        <v>98</v>
      </c>
      <c r="B7" s="13" t="s">
        <v>76</v>
      </c>
      <c r="C7" s="13" t="s">
        <v>30</v>
      </c>
      <c r="D7" s="14" t="s">
        <v>99</v>
      </c>
      <c r="E7" s="15">
        <f t="shared" si="1"/>
        <v>7799000</v>
      </c>
      <c r="F7" s="13" t="s">
        <v>32</v>
      </c>
      <c r="G7" s="13" t="s">
        <v>89</v>
      </c>
      <c r="H7" s="13" t="s">
        <v>90</v>
      </c>
      <c r="I7" s="13" t="s">
        <v>100</v>
      </c>
      <c r="J7" s="13" t="s">
        <v>90</v>
      </c>
      <c r="K7" s="13" t="s">
        <v>67</v>
      </c>
      <c r="L7" s="16">
        <f t="shared" si="2"/>
        <v>8</v>
      </c>
      <c r="M7" s="13" t="s">
        <v>79</v>
      </c>
      <c r="N7" s="13" t="s">
        <v>38</v>
      </c>
      <c r="O7" s="17">
        <f t="shared" si="3"/>
        <v>512</v>
      </c>
      <c r="P7" s="13" t="s">
        <v>39</v>
      </c>
      <c r="Q7" s="13" t="s">
        <v>101</v>
      </c>
      <c r="R7" s="18">
        <f t="shared" si="4"/>
        <v>1.4</v>
      </c>
      <c r="S7" s="13" t="s">
        <v>41</v>
      </c>
      <c r="T7" s="19">
        <f t="shared" si="5"/>
        <v>14</v>
      </c>
      <c r="U7" s="13" t="s">
        <v>42</v>
      </c>
      <c r="V7" s="13" t="s">
        <v>43</v>
      </c>
      <c r="W7" s="12" t="s">
        <v>102</v>
      </c>
      <c r="X7" s="20" t="s">
        <v>103</v>
      </c>
      <c r="Y7" s="21" t="s">
        <v>104</v>
      </c>
      <c r="Z7" s="12" t="s">
        <v>105</v>
      </c>
      <c r="AA7" s="22" t="s">
        <v>96</v>
      </c>
      <c r="AB7" s="23" t="s">
        <v>106</v>
      </c>
    </row>
    <row r="8">
      <c r="A8" s="12" t="s">
        <v>107</v>
      </c>
      <c r="B8" s="13" t="s">
        <v>108</v>
      </c>
      <c r="C8" s="13" t="s">
        <v>30</v>
      </c>
      <c r="D8" s="14" t="s">
        <v>109</v>
      </c>
      <c r="E8" s="15">
        <f t="shared" si="1"/>
        <v>9599000</v>
      </c>
      <c r="F8" s="13" t="s">
        <v>32</v>
      </c>
      <c r="G8" s="13" t="s">
        <v>110</v>
      </c>
      <c r="H8" s="13" t="s">
        <v>90</v>
      </c>
      <c r="I8" s="13" t="s">
        <v>111</v>
      </c>
      <c r="J8" s="13" t="s">
        <v>90</v>
      </c>
      <c r="K8" s="13" t="s">
        <v>67</v>
      </c>
      <c r="L8" s="16">
        <f t="shared" si="2"/>
        <v>8</v>
      </c>
      <c r="M8" s="13" t="s">
        <v>54</v>
      </c>
      <c r="N8" s="13" t="s">
        <v>38</v>
      </c>
      <c r="O8" s="17">
        <f t="shared" si="3"/>
        <v>512</v>
      </c>
      <c r="P8" s="13" t="s">
        <v>39</v>
      </c>
      <c r="Q8" s="13" t="s">
        <v>112</v>
      </c>
      <c r="R8" s="18">
        <f t="shared" si="4"/>
        <v>1.75</v>
      </c>
      <c r="S8" s="13" t="s">
        <v>113</v>
      </c>
      <c r="T8" s="19">
        <f>VALUE(SUBSTITUTE(SUBSTITUTE(S8, " Inch", ""), ",", "."))</f>
        <v>15.6</v>
      </c>
      <c r="U8" s="13" t="s">
        <v>42</v>
      </c>
      <c r="V8" s="13" t="s">
        <v>81</v>
      </c>
      <c r="W8" s="12" t="s">
        <v>114</v>
      </c>
      <c r="X8" s="20" t="s">
        <v>115</v>
      </c>
      <c r="Y8" s="21" t="s">
        <v>116</v>
      </c>
      <c r="Z8" s="12" t="s">
        <v>117</v>
      </c>
      <c r="AA8" s="22" t="s">
        <v>118</v>
      </c>
      <c r="AB8" s="23" t="s">
        <v>119</v>
      </c>
    </row>
    <row r="9">
      <c r="A9" s="12" t="s">
        <v>120</v>
      </c>
      <c r="B9" s="13" t="s">
        <v>121</v>
      </c>
      <c r="C9" s="13" t="s">
        <v>30</v>
      </c>
      <c r="D9" s="14" t="s">
        <v>122</v>
      </c>
      <c r="E9" s="15">
        <f t="shared" si="1"/>
        <v>15499000</v>
      </c>
      <c r="F9" s="13" t="s">
        <v>32</v>
      </c>
      <c r="G9" s="13" t="s">
        <v>123</v>
      </c>
      <c r="H9" s="13" t="s">
        <v>34</v>
      </c>
      <c r="I9" s="13" t="s">
        <v>124</v>
      </c>
      <c r="J9" s="13" t="s">
        <v>34</v>
      </c>
      <c r="K9" s="13" t="s">
        <v>36</v>
      </c>
      <c r="L9" s="16">
        <f t="shared" si="2"/>
        <v>16</v>
      </c>
      <c r="M9" s="13" t="s">
        <v>68</v>
      </c>
      <c r="N9" s="13" t="s">
        <v>125</v>
      </c>
      <c r="O9" s="17">
        <f t="shared" si="3"/>
        <v>1024</v>
      </c>
      <c r="P9" s="13" t="s">
        <v>39</v>
      </c>
      <c r="Q9" s="13" t="s">
        <v>55</v>
      </c>
      <c r="R9" s="18">
        <f t="shared" si="4"/>
        <v>1.5</v>
      </c>
      <c r="S9" s="13" t="s">
        <v>41</v>
      </c>
      <c r="T9" s="19">
        <f t="shared" ref="T9:T12" si="6">VALUE(SUBSTITUTE(S9, " Inch", ""))</f>
        <v>14</v>
      </c>
      <c r="U9" s="13" t="s">
        <v>42</v>
      </c>
      <c r="V9" s="13" t="s">
        <v>43</v>
      </c>
      <c r="W9" s="12" t="s">
        <v>126</v>
      </c>
      <c r="X9" s="20" t="s">
        <v>127</v>
      </c>
      <c r="Y9" s="21" t="s">
        <v>128</v>
      </c>
      <c r="Z9" s="12" t="s">
        <v>59</v>
      </c>
      <c r="AA9" s="22" t="s">
        <v>129</v>
      </c>
      <c r="AB9" s="23" t="s">
        <v>130</v>
      </c>
    </row>
    <row r="10">
      <c r="A10" s="12" t="s">
        <v>131</v>
      </c>
      <c r="B10" s="13" t="s">
        <v>132</v>
      </c>
      <c r="C10" s="13" t="s">
        <v>30</v>
      </c>
      <c r="D10" s="14" t="s">
        <v>133</v>
      </c>
      <c r="E10" s="15">
        <f t="shared" si="1"/>
        <v>15399000</v>
      </c>
      <c r="F10" s="13" t="s">
        <v>32</v>
      </c>
      <c r="G10" s="13" t="s">
        <v>134</v>
      </c>
      <c r="H10" s="13" t="s">
        <v>135</v>
      </c>
      <c r="I10" s="13" t="s">
        <v>136</v>
      </c>
      <c r="J10" s="13" t="s">
        <v>34</v>
      </c>
      <c r="K10" s="13" t="s">
        <v>36</v>
      </c>
      <c r="L10" s="16">
        <f t="shared" si="2"/>
        <v>16</v>
      </c>
      <c r="M10" s="13" t="s">
        <v>54</v>
      </c>
      <c r="N10" s="13" t="s">
        <v>38</v>
      </c>
      <c r="O10" s="17">
        <f t="shared" si="3"/>
        <v>512</v>
      </c>
      <c r="P10" s="13" t="s">
        <v>39</v>
      </c>
      <c r="Q10" s="13" t="s">
        <v>137</v>
      </c>
      <c r="R10" s="18">
        <f t="shared" si="4"/>
        <v>1.95</v>
      </c>
      <c r="S10" s="13" t="s">
        <v>138</v>
      </c>
      <c r="T10" s="19">
        <f t="shared" si="6"/>
        <v>16</v>
      </c>
      <c r="U10" s="13" t="s">
        <v>42</v>
      </c>
      <c r="V10" s="13" t="s">
        <v>43</v>
      </c>
      <c r="W10" s="12" t="s">
        <v>139</v>
      </c>
      <c r="X10" s="20" t="s">
        <v>140</v>
      </c>
      <c r="Y10" s="21" t="s">
        <v>141</v>
      </c>
      <c r="Z10" s="12" t="s">
        <v>142</v>
      </c>
      <c r="AA10" s="22" t="s">
        <v>143</v>
      </c>
      <c r="AB10" s="23" t="s">
        <v>144</v>
      </c>
    </row>
    <row r="11">
      <c r="A11" s="12" t="s">
        <v>145</v>
      </c>
      <c r="B11" s="13" t="s">
        <v>132</v>
      </c>
      <c r="C11" s="13" t="s">
        <v>30</v>
      </c>
      <c r="D11" s="14" t="s">
        <v>146</v>
      </c>
      <c r="E11" s="15">
        <f t="shared" si="1"/>
        <v>14399000</v>
      </c>
      <c r="F11" s="13" t="s">
        <v>32</v>
      </c>
      <c r="G11" s="13" t="s">
        <v>134</v>
      </c>
      <c r="H11" s="13" t="s">
        <v>135</v>
      </c>
      <c r="I11" s="13" t="s">
        <v>147</v>
      </c>
      <c r="J11" s="13" t="s">
        <v>34</v>
      </c>
      <c r="K11" s="13" t="s">
        <v>36</v>
      </c>
      <c r="L11" s="16">
        <f t="shared" si="2"/>
        <v>16</v>
      </c>
      <c r="M11" s="13" t="s">
        <v>54</v>
      </c>
      <c r="N11" s="13" t="s">
        <v>38</v>
      </c>
      <c r="O11" s="17">
        <f t="shared" si="3"/>
        <v>512</v>
      </c>
      <c r="P11" s="13" t="s">
        <v>39</v>
      </c>
      <c r="Q11" s="13" t="s">
        <v>148</v>
      </c>
      <c r="R11" s="18">
        <f t="shared" si="4"/>
        <v>2.4</v>
      </c>
      <c r="S11" s="13" t="s">
        <v>138</v>
      </c>
      <c r="T11" s="19">
        <f t="shared" si="6"/>
        <v>16</v>
      </c>
      <c r="U11" s="13" t="s">
        <v>42</v>
      </c>
      <c r="V11" s="13" t="s">
        <v>43</v>
      </c>
      <c r="W11" s="12" t="s">
        <v>149</v>
      </c>
      <c r="X11" s="20" t="s">
        <v>150</v>
      </c>
      <c r="Y11" s="21" t="s">
        <v>151</v>
      </c>
      <c r="Z11" s="12" t="s">
        <v>152</v>
      </c>
      <c r="AA11" s="22" t="s">
        <v>153</v>
      </c>
      <c r="AB11" s="23" t="s">
        <v>154</v>
      </c>
    </row>
    <row r="12">
      <c r="A12" s="12" t="s">
        <v>155</v>
      </c>
      <c r="B12" s="13" t="s">
        <v>132</v>
      </c>
      <c r="C12" s="13" t="s">
        <v>30</v>
      </c>
      <c r="D12" s="14" t="s">
        <v>156</v>
      </c>
      <c r="E12" s="15">
        <f t="shared" si="1"/>
        <v>15899000</v>
      </c>
      <c r="F12" s="13" t="s">
        <v>32</v>
      </c>
      <c r="G12" s="13" t="s">
        <v>157</v>
      </c>
      <c r="H12" s="13" t="s">
        <v>135</v>
      </c>
      <c r="I12" s="13" t="s">
        <v>158</v>
      </c>
      <c r="J12" s="13" t="s">
        <v>34</v>
      </c>
      <c r="K12" s="13" t="s">
        <v>36</v>
      </c>
      <c r="L12" s="16">
        <f t="shared" si="2"/>
        <v>16</v>
      </c>
      <c r="M12" s="13" t="s">
        <v>79</v>
      </c>
      <c r="N12" s="13" t="s">
        <v>38</v>
      </c>
      <c r="O12" s="17">
        <f t="shared" si="3"/>
        <v>512</v>
      </c>
      <c r="P12" s="13" t="s">
        <v>39</v>
      </c>
      <c r="Q12" s="13" t="s">
        <v>159</v>
      </c>
      <c r="R12" s="18">
        <f t="shared" si="4"/>
        <v>2.1</v>
      </c>
      <c r="S12" s="13" t="s">
        <v>138</v>
      </c>
      <c r="T12" s="19">
        <f t="shared" si="6"/>
        <v>16</v>
      </c>
      <c r="U12" s="13" t="s">
        <v>42</v>
      </c>
      <c r="V12" s="13" t="s">
        <v>43</v>
      </c>
      <c r="W12" s="12" t="s">
        <v>160</v>
      </c>
      <c r="X12" s="20" t="s">
        <v>161</v>
      </c>
      <c r="Y12" s="21" t="s">
        <v>162</v>
      </c>
      <c r="Z12" s="12" t="s">
        <v>152</v>
      </c>
      <c r="AA12" s="22" t="s">
        <v>163</v>
      </c>
      <c r="AB12" s="23" t="s">
        <v>164</v>
      </c>
    </row>
    <row r="13">
      <c r="A13" s="12" t="s">
        <v>165</v>
      </c>
      <c r="B13" s="13" t="s">
        <v>166</v>
      </c>
      <c r="C13" s="13" t="s">
        <v>30</v>
      </c>
      <c r="D13" s="14" t="s">
        <v>167</v>
      </c>
      <c r="E13" s="15">
        <f t="shared" si="1"/>
        <v>17299000</v>
      </c>
      <c r="F13" s="13" t="s">
        <v>32</v>
      </c>
      <c r="G13" s="13" t="s">
        <v>168</v>
      </c>
      <c r="H13" s="13" t="s">
        <v>135</v>
      </c>
      <c r="I13" s="13" t="s">
        <v>147</v>
      </c>
      <c r="J13" s="13" t="s">
        <v>34</v>
      </c>
      <c r="K13" s="13" t="s">
        <v>36</v>
      </c>
      <c r="L13" s="16">
        <f t="shared" si="2"/>
        <v>16</v>
      </c>
      <c r="M13" s="13" t="s">
        <v>54</v>
      </c>
      <c r="N13" s="13" t="s">
        <v>38</v>
      </c>
      <c r="O13" s="17">
        <f t="shared" si="3"/>
        <v>512</v>
      </c>
      <c r="P13" s="13" t="s">
        <v>39</v>
      </c>
      <c r="Q13" s="13" t="s">
        <v>159</v>
      </c>
      <c r="R13" s="18">
        <f t="shared" si="4"/>
        <v>2.1</v>
      </c>
      <c r="S13" s="13" t="s">
        <v>113</v>
      </c>
      <c r="T13" s="19">
        <f t="shared" ref="T13:T14" si="7">VALUE(SUBSTITUTE(SUBSTITUTE(S13, " Inch", ""), ",", "."))</f>
        <v>15.6</v>
      </c>
      <c r="U13" s="13" t="s">
        <v>42</v>
      </c>
      <c r="V13" s="13" t="s">
        <v>81</v>
      </c>
      <c r="W13" s="12" t="s">
        <v>169</v>
      </c>
      <c r="X13" s="20" t="s">
        <v>170</v>
      </c>
      <c r="Y13" s="21" t="s">
        <v>171</v>
      </c>
      <c r="Z13" s="12" t="s">
        <v>152</v>
      </c>
      <c r="AA13" s="22" t="s">
        <v>172</v>
      </c>
      <c r="AB13" s="23" t="s">
        <v>173</v>
      </c>
    </row>
    <row r="14">
      <c r="A14" s="12" t="s">
        <v>174</v>
      </c>
      <c r="B14" s="13" t="s">
        <v>166</v>
      </c>
      <c r="C14" s="13" t="s">
        <v>30</v>
      </c>
      <c r="D14" s="14" t="s">
        <v>175</v>
      </c>
      <c r="E14" s="15">
        <f t="shared" si="1"/>
        <v>17099000</v>
      </c>
      <c r="F14" s="13" t="s">
        <v>32</v>
      </c>
      <c r="G14" s="13" t="s">
        <v>157</v>
      </c>
      <c r="H14" s="13" t="s">
        <v>135</v>
      </c>
      <c r="I14" s="13" t="s">
        <v>176</v>
      </c>
      <c r="J14" s="13" t="s">
        <v>90</v>
      </c>
      <c r="K14" s="13" t="s">
        <v>36</v>
      </c>
      <c r="L14" s="16">
        <f t="shared" si="2"/>
        <v>16</v>
      </c>
      <c r="M14" s="13" t="s">
        <v>54</v>
      </c>
      <c r="N14" s="13" t="s">
        <v>38</v>
      </c>
      <c r="O14" s="17">
        <f t="shared" si="3"/>
        <v>512</v>
      </c>
      <c r="P14" s="13" t="s">
        <v>39</v>
      </c>
      <c r="Q14" s="13" t="s">
        <v>159</v>
      </c>
      <c r="R14" s="18">
        <f t="shared" si="4"/>
        <v>2.1</v>
      </c>
      <c r="S14" s="13" t="s">
        <v>113</v>
      </c>
      <c r="T14" s="19">
        <f t="shared" si="7"/>
        <v>15.6</v>
      </c>
      <c r="U14" s="13" t="s">
        <v>42</v>
      </c>
      <c r="V14" s="13" t="s">
        <v>81</v>
      </c>
      <c r="W14" s="12" t="s">
        <v>177</v>
      </c>
      <c r="X14" s="20" t="s">
        <v>178</v>
      </c>
      <c r="Y14" s="21" t="s">
        <v>179</v>
      </c>
      <c r="Z14" s="12" t="s">
        <v>142</v>
      </c>
      <c r="AA14" s="22" t="s">
        <v>180</v>
      </c>
      <c r="AB14" s="23" t="s">
        <v>181</v>
      </c>
    </row>
    <row r="15">
      <c r="A15" s="12" t="s">
        <v>182</v>
      </c>
      <c r="B15" s="13" t="s">
        <v>183</v>
      </c>
      <c r="C15" s="13" t="s">
        <v>30</v>
      </c>
      <c r="D15" s="14" t="s">
        <v>184</v>
      </c>
      <c r="E15" s="15">
        <f t="shared" si="1"/>
        <v>19599000</v>
      </c>
      <c r="F15" s="13" t="s">
        <v>32</v>
      </c>
      <c r="G15" s="13" t="s">
        <v>168</v>
      </c>
      <c r="H15" s="13" t="s">
        <v>135</v>
      </c>
      <c r="I15" s="13" t="s">
        <v>185</v>
      </c>
      <c r="J15" s="13" t="s">
        <v>90</v>
      </c>
      <c r="K15" s="13" t="s">
        <v>36</v>
      </c>
      <c r="L15" s="16">
        <f t="shared" si="2"/>
        <v>16</v>
      </c>
      <c r="M15" s="13" t="s">
        <v>54</v>
      </c>
      <c r="N15" s="13" t="s">
        <v>38</v>
      </c>
      <c r="O15" s="17">
        <f t="shared" si="3"/>
        <v>512</v>
      </c>
      <c r="P15" s="13" t="s">
        <v>39</v>
      </c>
      <c r="Q15" s="13" t="s">
        <v>159</v>
      </c>
      <c r="R15" s="18">
        <f t="shared" si="4"/>
        <v>2.1</v>
      </c>
      <c r="S15" s="13" t="s">
        <v>138</v>
      </c>
      <c r="T15" s="19">
        <f>VALUE(SUBSTITUTE(S15, " Inch", ""))</f>
        <v>16</v>
      </c>
      <c r="U15" s="13" t="s">
        <v>42</v>
      </c>
      <c r="V15" s="13" t="s">
        <v>43</v>
      </c>
      <c r="W15" s="12" t="s">
        <v>186</v>
      </c>
      <c r="X15" s="20" t="s">
        <v>187</v>
      </c>
      <c r="Y15" s="26" t="s">
        <v>188</v>
      </c>
      <c r="Z15" s="12" t="s">
        <v>142</v>
      </c>
      <c r="AA15" s="22" t="s">
        <v>189</v>
      </c>
      <c r="AB15" s="23" t="s">
        <v>190</v>
      </c>
    </row>
    <row r="16">
      <c r="A16" s="12" t="s">
        <v>191</v>
      </c>
      <c r="B16" s="13" t="s">
        <v>192</v>
      </c>
      <c r="C16" s="13" t="s">
        <v>30</v>
      </c>
      <c r="D16" s="14" t="s">
        <v>193</v>
      </c>
      <c r="E16" s="15">
        <f t="shared" si="1"/>
        <v>27299000</v>
      </c>
      <c r="F16" s="13" t="s">
        <v>32</v>
      </c>
      <c r="G16" s="13" t="s">
        <v>194</v>
      </c>
      <c r="H16" s="13" t="s">
        <v>135</v>
      </c>
      <c r="I16" s="13" t="s">
        <v>195</v>
      </c>
      <c r="J16" s="13" t="s">
        <v>34</v>
      </c>
      <c r="K16" s="13" t="s">
        <v>36</v>
      </c>
      <c r="L16" s="16">
        <f t="shared" si="2"/>
        <v>16</v>
      </c>
      <c r="M16" s="13" t="s">
        <v>54</v>
      </c>
      <c r="N16" s="13" t="s">
        <v>125</v>
      </c>
      <c r="O16" s="17">
        <f t="shared" si="3"/>
        <v>1024</v>
      </c>
      <c r="P16" s="13" t="s">
        <v>39</v>
      </c>
      <c r="Q16" s="13" t="s">
        <v>196</v>
      </c>
      <c r="R16" s="18">
        <f t="shared" si="4"/>
        <v>2.6</v>
      </c>
      <c r="S16" s="13" t="s">
        <v>138</v>
      </c>
      <c r="T16" s="19">
        <f>VALUE(SUBSTITUTE(SUBSTITUTE(S16, " Inch", ""), ",", "."))</f>
        <v>16</v>
      </c>
      <c r="U16" s="13" t="s">
        <v>197</v>
      </c>
      <c r="V16" s="13" t="s">
        <v>198</v>
      </c>
      <c r="W16" s="12" t="s">
        <v>199</v>
      </c>
      <c r="X16" s="20" t="s">
        <v>200</v>
      </c>
      <c r="Y16" s="21" t="s">
        <v>201</v>
      </c>
      <c r="Z16" s="12" t="s">
        <v>202</v>
      </c>
      <c r="AA16" s="22" t="s">
        <v>203</v>
      </c>
      <c r="AB16" s="23" t="s">
        <v>204</v>
      </c>
    </row>
    <row r="17">
      <c r="A17" s="12" t="s">
        <v>205</v>
      </c>
      <c r="B17" s="13" t="s">
        <v>206</v>
      </c>
      <c r="C17" s="13" t="s">
        <v>30</v>
      </c>
      <c r="D17" s="14" t="s">
        <v>207</v>
      </c>
      <c r="E17" s="15">
        <f t="shared" si="1"/>
        <v>15799000</v>
      </c>
      <c r="F17" s="13" t="s">
        <v>32</v>
      </c>
      <c r="G17" s="13" t="s">
        <v>52</v>
      </c>
      <c r="H17" s="13" t="s">
        <v>34</v>
      </c>
      <c r="I17" s="13" t="s">
        <v>53</v>
      </c>
      <c r="J17" s="13" t="s">
        <v>34</v>
      </c>
      <c r="K17" s="13" t="s">
        <v>208</v>
      </c>
      <c r="L17" s="16">
        <f t="shared" si="2"/>
        <v>32</v>
      </c>
      <c r="M17" s="13" t="s">
        <v>209</v>
      </c>
      <c r="N17" s="13" t="s">
        <v>125</v>
      </c>
      <c r="O17" s="17">
        <f t="shared" si="3"/>
        <v>1024</v>
      </c>
      <c r="P17" s="13" t="s">
        <v>39</v>
      </c>
      <c r="Q17" s="13" t="s">
        <v>210</v>
      </c>
      <c r="R17" s="18">
        <f t="shared" si="4"/>
        <v>1.32</v>
      </c>
      <c r="S17" s="13" t="s">
        <v>41</v>
      </c>
      <c r="T17" s="19">
        <f t="shared" ref="T17:T23" si="8">VALUE(SUBSTITUTE(S17, " Inch", ""))</f>
        <v>14</v>
      </c>
      <c r="U17" s="13" t="s">
        <v>197</v>
      </c>
      <c r="V17" s="13" t="s">
        <v>211</v>
      </c>
      <c r="W17" s="12" t="s">
        <v>212</v>
      </c>
      <c r="X17" s="20" t="s">
        <v>213</v>
      </c>
      <c r="Y17" s="21" t="s">
        <v>214</v>
      </c>
      <c r="Z17" s="12" t="s">
        <v>215</v>
      </c>
      <c r="AA17" s="22" t="s">
        <v>216</v>
      </c>
      <c r="AB17" s="23" t="s">
        <v>217</v>
      </c>
    </row>
    <row r="18">
      <c r="A18" s="12" t="s">
        <v>218</v>
      </c>
      <c r="B18" s="13" t="s">
        <v>206</v>
      </c>
      <c r="C18" s="13" t="s">
        <v>30</v>
      </c>
      <c r="D18" s="14" t="s">
        <v>219</v>
      </c>
      <c r="E18" s="15">
        <f t="shared" si="1"/>
        <v>16979000</v>
      </c>
      <c r="F18" s="13" t="s">
        <v>32</v>
      </c>
      <c r="G18" s="13" t="s">
        <v>220</v>
      </c>
      <c r="H18" s="13" t="s">
        <v>34</v>
      </c>
      <c r="I18" s="13" t="s">
        <v>221</v>
      </c>
      <c r="J18" s="13" t="s">
        <v>34</v>
      </c>
      <c r="K18" s="13" t="s">
        <v>208</v>
      </c>
      <c r="L18" s="16">
        <f t="shared" si="2"/>
        <v>32</v>
      </c>
      <c r="M18" s="13" t="s">
        <v>209</v>
      </c>
      <c r="N18" s="13" t="s">
        <v>125</v>
      </c>
      <c r="O18" s="17">
        <f t="shared" si="3"/>
        <v>1024</v>
      </c>
      <c r="P18" s="13" t="s">
        <v>39</v>
      </c>
      <c r="Q18" s="13" t="s">
        <v>210</v>
      </c>
      <c r="R18" s="18">
        <f t="shared" si="4"/>
        <v>1.32</v>
      </c>
      <c r="S18" s="13" t="s">
        <v>41</v>
      </c>
      <c r="T18" s="19">
        <f t="shared" si="8"/>
        <v>14</v>
      </c>
      <c r="U18" s="13" t="s">
        <v>197</v>
      </c>
      <c r="V18" s="13" t="s">
        <v>211</v>
      </c>
      <c r="W18" s="12" t="s">
        <v>222</v>
      </c>
      <c r="X18" s="20" t="s">
        <v>223</v>
      </c>
      <c r="Y18" s="21" t="s">
        <v>224</v>
      </c>
      <c r="Z18" s="12" t="s">
        <v>225</v>
      </c>
      <c r="AA18" s="22" t="s">
        <v>226</v>
      </c>
      <c r="AB18" s="23" t="s">
        <v>227</v>
      </c>
    </row>
    <row r="19">
      <c r="A19" s="12" t="s">
        <v>228</v>
      </c>
      <c r="B19" s="13" t="s">
        <v>229</v>
      </c>
      <c r="C19" s="13" t="s">
        <v>230</v>
      </c>
      <c r="D19" s="14" t="s">
        <v>231</v>
      </c>
      <c r="E19" s="15">
        <f t="shared" si="1"/>
        <v>5499000</v>
      </c>
      <c r="F19" s="13" t="s">
        <v>32</v>
      </c>
      <c r="G19" s="13" t="s">
        <v>232</v>
      </c>
      <c r="H19" s="13" t="s">
        <v>90</v>
      </c>
      <c r="I19" s="13" t="s">
        <v>233</v>
      </c>
      <c r="J19" s="13" t="s">
        <v>90</v>
      </c>
      <c r="K19" s="13" t="s">
        <v>67</v>
      </c>
      <c r="L19" s="16">
        <f t="shared" si="2"/>
        <v>8</v>
      </c>
      <c r="M19" s="13" t="s">
        <v>79</v>
      </c>
      <c r="N19" s="13" t="s">
        <v>234</v>
      </c>
      <c r="O19" s="17">
        <f t="shared" si="3"/>
        <v>256</v>
      </c>
      <c r="P19" s="13" t="s">
        <v>39</v>
      </c>
      <c r="Q19" s="13" t="s">
        <v>55</v>
      </c>
      <c r="R19" s="18">
        <f t="shared" si="4"/>
        <v>1.5</v>
      </c>
      <c r="S19" s="13" t="s">
        <v>41</v>
      </c>
      <c r="T19" s="19">
        <f t="shared" si="8"/>
        <v>14</v>
      </c>
      <c r="U19" s="13" t="s">
        <v>42</v>
      </c>
      <c r="V19" s="13" t="s">
        <v>81</v>
      </c>
      <c r="W19" s="12" t="s">
        <v>235</v>
      </c>
      <c r="X19" s="20" t="s">
        <v>236</v>
      </c>
      <c r="Y19" s="21" t="s">
        <v>237</v>
      </c>
      <c r="Z19" s="12" t="s">
        <v>238</v>
      </c>
      <c r="AA19" s="22" t="s">
        <v>239</v>
      </c>
      <c r="AB19" s="23" t="s">
        <v>240</v>
      </c>
    </row>
    <row r="20">
      <c r="A20" s="12" t="s">
        <v>241</v>
      </c>
      <c r="B20" s="13" t="s">
        <v>242</v>
      </c>
      <c r="C20" s="13" t="s">
        <v>230</v>
      </c>
      <c r="D20" s="14" t="s">
        <v>243</v>
      </c>
      <c r="E20" s="15">
        <f t="shared" si="1"/>
        <v>3699000</v>
      </c>
      <c r="F20" s="13" t="s">
        <v>32</v>
      </c>
      <c r="G20" s="13" t="s">
        <v>89</v>
      </c>
      <c r="H20" s="13" t="s">
        <v>90</v>
      </c>
      <c r="I20" s="13" t="s">
        <v>244</v>
      </c>
      <c r="J20" s="13" t="s">
        <v>90</v>
      </c>
      <c r="K20" s="13" t="s">
        <v>67</v>
      </c>
      <c r="L20" s="16">
        <f t="shared" si="2"/>
        <v>8</v>
      </c>
      <c r="M20" s="13" t="s">
        <v>79</v>
      </c>
      <c r="N20" s="13" t="s">
        <v>245</v>
      </c>
      <c r="O20" s="17">
        <f t="shared" si="3"/>
        <v>128</v>
      </c>
      <c r="P20" s="13" t="s">
        <v>39</v>
      </c>
      <c r="Q20" s="13" t="s">
        <v>101</v>
      </c>
      <c r="R20" s="18">
        <f t="shared" si="4"/>
        <v>1.4</v>
      </c>
      <c r="S20" s="13" t="s">
        <v>41</v>
      </c>
      <c r="T20" s="19">
        <f t="shared" si="8"/>
        <v>14</v>
      </c>
      <c r="U20" s="13" t="s">
        <v>42</v>
      </c>
      <c r="V20" s="13" t="s">
        <v>81</v>
      </c>
      <c r="W20" s="12" t="s">
        <v>246</v>
      </c>
      <c r="X20" s="20" t="s">
        <v>247</v>
      </c>
      <c r="Y20" s="21" t="s">
        <v>248</v>
      </c>
      <c r="Z20" s="12" t="s">
        <v>249</v>
      </c>
      <c r="AA20" s="22" t="s">
        <v>250</v>
      </c>
      <c r="AB20" s="23" t="s">
        <v>251</v>
      </c>
    </row>
    <row r="21">
      <c r="A21" s="12" t="s">
        <v>252</v>
      </c>
      <c r="B21" s="13" t="s">
        <v>253</v>
      </c>
      <c r="C21" s="13" t="s">
        <v>230</v>
      </c>
      <c r="D21" s="14" t="s">
        <v>254</v>
      </c>
      <c r="E21" s="15">
        <f t="shared" si="1"/>
        <v>4199000</v>
      </c>
      <c r="F21" s="13" t="s">
        <v>32</v>
      </c>
      <c r="G21" s="13" t="s">
        <v>33</v>
      </c>
      <c r="H21" s="13" t="s">
        <v>34</v>
      </c>
      <c r="I21" s="13" t="s">
        <v>255</v>
      </c>
      <c r="J21" s="13" t="s">
        <v>34</v>
      </c>
      <c r="K21" s="13" t="s">
        <v>256</v>
      </c>
      <c r="L21" s="16">
        <f t="shared" si="2"/>
        <v>4</v>
      </c>
      <c r="M21" s="13" t="s">
        <v>79</v>
      </c>
      <c r="N21" s="13" t="s">
        <v>245</v>
      </c>
      <c r="O21" s="17">
        <f t="shared" si="3"/>
        <v>128</v>
      </c>
      <c r="P21" s="13" t="s">
        <v>257</v>
      </c>
      <c r="Q21" s="13" t="s">
        <v>55</v>
      </c>
      <c r="R21" s="18">
        <f t="shared" si="4"/>
        <v>1.5</v>
      </c>
      <c r="S21" s="13" t="s">
        <v>41</v>
      </c>
      <c r="T21" s="19">
        <f t="shared" si="8"/>
        <v>14</v>
      </c>
      <c r="U21" s="13" t="s">
        <v>258</v>
      </c>
      <c r="V21" s="13" t="s">
        <v>259</v>
      </c>
      <c r="W21" s="12" t="s">
        <v>260</v>
      </c>
      <c r="X21" s="20" t="s">
        <v>261</v>
      </c>
      <c r="Y21" s="21" t="s">
        <v>262</v>
      </c>
      <c r="Z21" s="12" t="s">
        <v>263</v>
      </c>
      <c r="AA21" s="22" t="s">
        <v>264</v>
      </c>
      <c r="AB21" s="23" t="s">
        <v>265</v>
      </c>
    </row>
    <row r="22">
      <c r="A22" s="12" t="s">
        <v>266</v>
      </c>
      <c r="B22" s="13" t="s">
        <v>253</v>
      </c>
      <c r="C22" s="13" t="s">
        <v>230</v>
      </c>
      <c r="D22" s="14" t="s">
        <v>254</v>
      </c>
      <c r="E22" s="15">
        <f t="shared" si="1"/>
        <v>4199000</v>
      </c>
      <c r="F22" s="13" t="s">
        <v>32</v>
      </c>
      <c r="G22" s="13" t="s">
        <v>33</v>
      </c>
      <c r="H22" s="13" t="s">
        <v>34</v>
      </c>
      <c r="I22" s="13" t="s">
        <v>255</v>
      </c>
      <c r="J22" s="13" t="s">
        <v>34</v>
      </c>
      <c r="K22" s="13" t="s">
        <v>256</v>
      </c>
      <c r="L22" s="16">
        <f t="shared" si="2"/>
        <v>4</v>
      </c>
      <c r="M22" s="13" t="s">
        <v>79</v>
      </c>
      <c r="N22" s="13" t="s">
        <v>245</v>
      </c>
      <c r="O22" s="17">
        <f t="shared" si="3"/>
        <v>128</v>
      </c>
      <c r="P22" s="13" t="s">
        <v>257</v>
      </c>
      <c r="Q22" s="13" t="s">
        <v>55</v>
      </c>
      <c r="R22" s="18">
        <f t="shared" si="4"/>
        <v>1.5</v>
      </c>
      <c r="S22" s="13" t="s">
        <v>41</v>
      </c>
      <c r="T22" s="19">
        <f t="shared" si="8"/>
        <v>14</v>
      </c>
      <c r="U22" s="13" t="s">
        <v>258</v>
      </c>
      <c r="V22" s="13" t="s">
        <v>259</v>
      </c>
      <c r="W22" s="12" t="s">
        <v>260</v>
      </c>
      <c r="X22" s="20" t="s">
        <v>267</v>
      </c>
      <c r="Y22" s="21" t="s">
        <v>268</v>
      </c>
      <c r="Z22" s="12" t="s">
        <v>263</v>
      </c>
      <c r="AA22" s="22" t="s">
        <v>264</v>
      </c>
      <c r="AB22" s="23" t="s">
        <v>265</v>
      </c>
    </row>
    <row r="23">
      <c r="A23" s="12" t="s">
        <v>269</v>
      </c>
      <c r="B23" s="13" t="s">
        <v>270</v>
      </c>
      <c r="C23" s="13" t="s">
        <v>230</v>
      </c>
      <c r="D23" s="14" t="s">
        <v>271</v>
      </c>
      <c r="E23" s="15">
        <f t="shared" si="1"/>
        <v>7399000</v>
      </c>
      <c r="F23" s="13" t="s">
        <v>32</v>
      </c>
      <c r="G23" s="13" t="s">
        <v>272</v>
      </c>
      <c r="H23" s="13" t="s">
        <v>90</v>
      </c>
      <c r="I23" s="13" t="s">
        <v>273</v>
      </c>
      <c r="J23" s="13" t="s">
        <v>90</v>
      </c>
      <c r="K23" s="13" t="s">
        <v>67</v>
      </c>
      <c r="L23" s="16">
        <f t="shared" si="2"/>
        <v>8</v>
      </c>
      <c r="M23" s="13" t="s">
        <v>54</v>
      </c>
      <c r="N23" s="13" t="s">
        <v>38</v>
      </c>
      <c r="O23" s="17">
        <f t="shared" si="3"/>
        <v>512</v>
      </c>
      <c r="P23" s="13" t="s">
        <v>39</v>
      </c>
      <c r="Q23" s="13" t="s">
        <v>274</v>
      </c>
      <c r="R23" s="18">
        <f t="shared" si="4"/>
        <v>1.45</v>
      </c>
      <c r="S23" s="13" t="s">
        <v>41</v>
      </c>
      <c r="T23" s="19">
        <f t="shared" si="8"/>
        <v>14</v>
      </c>
      <c r="U23" s="13" t="s">
        <v>42</v>
      </c>
      <c r="V23" s="13" t="s">
        <v>43</v>
      </c>
      <c r="W23" s="12" t="s">
        <v>275</v>
      </c>
      <c r="X23" s="20" t="s">
        <v>276</v>
      </c>
      <c r="Y23" s="21" t="s">
        <v>277</v>
      </c>
      <c r="Z23" s="12" t="s">
        <v>238</v>
      </c>
      <c r="AA23" s="22" t="s">
        <v>278</v>
      </c>
      <c r="AB23" s="23" t="s">
        <v>279</v>
      </c>
    </row>
    <row r="24">
      <c r="A24" s="12" t="s">
        <v>280</v>
      </c>
      <c r="B24" s="13" t="s">
        <v>281</v>
      </c>
      <c r="C24" s="13" t="s">
        <v>282</v>
      </c>
      <c r="D24" s="14" t="s">
        <v>283</v>
      </c>
      <c r="E24" s="15">
        <f t="shared" si="1"/>
        <v>16499000</v>
      </c>
      <c r="F24" s="13" t="s">
        <v>284</v>
      </c>
      <c r="G24" s="13" t="s">
        <v>285</v>
      </c>
      <c r="H24" s="13" t="s">
        <v>282</v>
      </c>
      <c r="I24" s="13" t="s">
        <v>286</v>
      </c>
      <c r="J24" s="13" t="s">
        <v>282</v>
      </c>
      <c r="K24" s="13" t="s">
        <v>36</v>
      </c>
      <c r="L24" s="16">
        <f t="shared" si="2"/>
        <v>16</v>
      </c>
      <c r="M24" s="13" t="s">
        <v>209</v>
      </c>
      <c r="N24" s="13" t="s">
        <v>234</v>
      </c>
      <c r="O24" s="17">
        <f t="shared" si="3"/>
        <v>256</v>
      </c>
      <c r="P24" s="13" t="s">
        <v>39</v>
      </c>
      <c r="Q24" s="13" t="s">
        <v>287</v>
      </c>
      <c r="R24" s="18">
        <f t="shared" si="4"/>
        <v>1.24</v>
      </c>
      <c r="S24" s="13" t="s">
        <v>288</v>
      </c>
      <c r="T24" s="19">
        <f t="shared" ref="T24:T27" si="9">VALUE(SUBSTITUTE(SUBSTITUTE(S24, " Inch", ""), ",", "."))</f>
        <v>13.6</v>
      </c>
      <c r="U24" s="13" t="s">
        <v>42</v>
      </c>
      <c r="V24" s="13" t="s">
        <v>198</v>
      </c>
      <c r="W24" s="12" t="s">
        <v>289</v>
      </c>
      <c r="X24" s="20" t="s">
        <v>290</v>
      </c>
      <c r="Y24" s="26" t="s">
        <v>291</v>
      </c>
      <c r="Z24" s="12" t="s">
        <v>292</v>
      </c>
      <c r="AA24" s="22" t="s">
        <v>293</v>
      </c>
      <c r="AB24" s="23" t="s">
        <v>294</v>
      </c>
    </row>
    <row r="25">
      <c r="A25" s="12" t="s">
        <v>295</v>
      </c>
      <c r="B25" s="13" t="s">
        <v>281</v>
      </c>
      <c r="C25" s="13" t="s">
        <v>282</v>
      </c>
      <c r="D25" s="14" t="s">
        <v>283</v>
      </c>
      <c r="E25" s="15">
        <f t="shared" si="1"/>
        <v>16499000</v>
      </c>
      <c r="F25" s="13" t="s">
        <v>284</v>
      </c>
      <c r="G25" s="13" t="s">
        <v>285</v>
      </c>
      <c r="H25" s="13" t="s">
        <v>282</v>
      </c>
      <c r="I25" s="13" t="s">
        <v>286</v>
      </c>
      <c r="J25" s="13" t="s">
        <v>282</v>
      </c>
      <c r="K25" s="13" t="s">
        <v>36</v>
      </c>
      <c r="L25" s="16">
        <f t="shared" si="2"/>
        <v>16</v>
      </c>
      <c r="M25" s="13" t="s">
        <v>209</v>
      </c>
      <c r="N25" s="13" t="s">
        <v>234</v>
      </c>
      <c r="O25" s="17">
        <f t="shared" si="3"/>
        <v>256</v>
      </c>
      <c r="P25" s="13" t="s">
        <v>39</v>
      </c>
      <c r="Q25" s="13" t="s">
        <v>287</v>
      </c>
      <c r="R25" s="18">
        <f t="shared" si="4"/>
        <v>1.24</v>
      </c>
      <c r="S25" s="13" t="s">
        <v>288</v>
      </c>
      <c r="T25" s="19">
        <f t="shared" si="9"/>
        <v>13.6</v>
      </c>
      <c r="U25" s="13" t="s">
        <v>42</v>
      </c>
      <c r="V25" s="13" t="s">
        <v>198</v>
      </c>
      <c r="W25" s="12" t="s">
        <v>296</v>
      </c>
      <c r="X25" s="20" t="s">
        <v>297</v>
      </c>
      <c r="Y25" s="21" t="s">
        <v>298</v>
      </c>
      <c r="Z25" s="12" t="s">
        <v>292</v>
      </c>
      <c r="AA25" s="22" t="s">
        <v>293</v>
      </c>
      <c r="AB25" s="23" t="s">
        <v>294</v>
      </c>
    </row>
    <row r="26">
      <c r="A26" s="12" t="s">
        <v>299</v>
      </c>
      <c r="B26" s="13" t="s">
        <v>300</v>
      </c>
      <c r="C26" s="13" t="s">
        <v>282</v>
      </c>
      <c r="D26" s="14" t="s">
        <v>301</v>
      </c>
      <c r="E26" s="15">
        <f t="shared" si="1"/>
        <v>29999000</v>
      </c>
      <c r="F26" s="13" t="s">
        <v>284</v>
      </c>
      <c r="G26" s="13" t="s">
        <v>285</v>
      </c>
      <c r="H26" s="13" t="s">
        <v>282</v>
      </c>
      <c r="I26" s="13" t="s">
        <v>302</v>
      </c>
      <c r="J26" s="13" t="s">
        <v>282</v>
      </c>
      <c r="K26" s="13" t="s">
        <v>36</v>
      </c>
      <c r="L26" s="16">
        <f t="shared" si="2"/>
        <v>16</v>
      </c>
      <c r="M26" s="13" t="s">
        <v>209</v>
      </c>
      <c r="N26" s="13" t="s">
        <v>125</v>
      </c>
      <c r="O26" s="17">
        <f t="shared" si="3"/>
        <v>1024</v>
      </c>
      <c r="P26" s="13" t="s">
        <v>39</v>
      </c>
      <c r="Q26" s="13" t="s">
        <v>303</v>
      </c>
      <c r="R26" s="18">
        <f t="shared" si="4"/>
        <v>1.55</v>
      </c>
      <c r="S26" s="13" t="s">
        <v>304</v>
      </c>
      <c r="T26" s="19">
        <f t="shared" si="9"/>
        <v>14.2</v>
      </c>
      <c r="U26" s="13" t="s">
        <v>305</v>
      </c>
      <c r="V26" s="13" t="s">
        <v>198</v>
      </c>
      <c r="W26" s="12" t="s">
        <v>306</v>
      </c>
      <c r="X26" s="20" t="s">
        <v>307</v>
      </c>
      <c r="Y26" s="21" t="s">
        <v>308</v>
      </c>
      <c r="Z26" s="12" t="s">
        <v>309</v>
      </c>
      <c r="AA26" s="22" t="s">
        <v>310</v>
      </c>
      <c r="AB26" s="23" t="s">
        <v>311</v>
      </c>
    </row>
    <row r="27">
      <c r="A27" s="12" t="s">
        <v>312</v>
      </c>
      <c r="B27" s="13" t="s">
        <v>300</v>
      </c>
      <c r="C27" s="13" t="s">
        <v>282</v>
      </c>
      <c r="D27" s="14" t="s">
        <v>313</v>
      </c>
      <c r="E27" s="15">
        <f t="shared" si="1"/>
        <v>27799000</v>
      </c>
      <c r="F27" s="13" t="s">
        <v>284</v>
      </c>
      <c r="G27" s="13" t="s">
        <v>285</v>
      </c>
      <c r="H27" s="13" t="s">
        <v>282</v>
      </c>
      <c r="I27" s="13" t="s">
        <v>302</v>
      </c>
      <c r="J27" s="13" t="s">
        <v>282</v>
      </c>
      <c r="K27" s="13" t="s">
        <v>36</v>
      </c>
      <c r="L27" s="16">
        <f t="shared" si="2"/>
        <v>16</v>
      </c>
      <c r="M27" s="13" t="s">
        <v>209</v>
      </c>
      <c r="N27" s="13" t="s">
        <v>38</v>
      </c>
      <c r="O27" s="17">
        <f t="shared" si="3"/>
        <v>512</v>
      </c>
      <c r="P27" s="13" t="s">
        <v>39</v>
      </c>
      <c r="Q27" s="13" t="s">
        <v>303</v>
      </c>
      <c r="R27" s="18">
        <f t="shared" si="4"/>
        <v>1.55</v>
      </c>
      <c r="S27" s="13" t="s">
        <v>304</v>
      </c>
      <c r="T27" s="19">
        <f t="shared" si="9"/>
        <v>14.2</v>
      </c>
      <c r="U27" s="13" t="s">
        <v>305</v>
      </c>
      <c r="V27" s="13" t="s">
        <v>314</v>
      </c>
      <c r="W27" s="12" t="s">
        <v>315</v>
      </c>
      <c r="X27" s="20" t="s">
        <v>316</v>
      </c>
      <c r="Y27" s="27" t="s">
        <v>317</v>
      </c>
      <c r="Z27" s="12" t="s">
        <v>309</v>
      </c>
      <c r="AA27" s="22" t="s">
        <v>318</v>
      </c>
      <c r="AB27" s="23" t="s">
        <v>319</v>
      </c>
    </row>
    <row r="28">
      <c r="A28" s="12" t="s">
        <v>320</v>
      </c>
      <c r="B28" s="13" t="s">
        <v>321</v>
      </c>
      <c r="C28" s="13" t="s">
        <v>322</v>
      </c>
      <c r="D28" s="14" t="s">
        <v>323</v>
      </c>
      <c r="E28" s="15">
        <f t="shared" si="1"/>
        <v>14900000</v>
      </c>
      <c r="F28" s="13" t="s">
        <v>32</v>
      </c>
      <c r="G28" s="13" t="s">
        <v>324</v>
      </c>
      <c r="H28" s="13" t="s">
        <v>34</v>
      </c>
      <c r="I28" s="13" t="s">
        <v>325</v>
      </c>
      <c r="J28" s="13" t="s">
        <v>34</v>
      </c>
      <c r="K28" s="13" t="s">
        <v>36</v>
      </c>
      <c r="L28" s="16">
        <f t="shared" si="2"/>
        <v>16</v>
      </c>
      <c r="M28" s="13" t="s">
        <v>54</v>
      </c>
      <c r="N28" s="13" t="s">
        <v>38</v>
      </c>
      <c r="O28" s="17">
        <f t="shared" si="3"/>
        <v>512</v>
      </c>
      <c r="P28" s="13" t="s">
        <v>39</v>
      </c>
      <c r="Q28" s="13" t="s">
        <v>326</v>
      </c>
      <c r="R28" s="18">
        <f t="shared" si="4"/>
        <v>1.39</v>
      </c>
      <c r="S28" s="13" t="s">
        <v>41</v>
      </c>
      <c r="T28" s="19">
        <f t="shared" ref="T28:T31" si="10">VALUE(SUBSTITUTE(S28, " Inch", ""))</f>
        <v>14</v>
      </c>
      <c r="U28" s="13" t="s">
        <v>42</v>
      </c>
      <c r="V28" s="13" t="s">
        <v>81</v>
      </c>
      <c r="W28" s="12" t="s">
        <v>327</v>
      </c>
      <c r="X28" s="20" t="s">
        <v>328</v>
      </c>
      <c r="Y28" s="27" t="s">
        <v>317</v>
      </c>
      <c r="Z28" s="12" t="s">
        <v>329</v>
      </c>
      <c r="AA28" s="22" t="s">
        <v>330</v>
      </c>
      <c r="AB28" s="23" t="s">
        <v>331</v>
      </c>
    </row>
    <row r="29">
      <c r="A29" s="12" t="s">
        <v>332</v>
      </c>
      <c r="B29" s="13" t="s">
        <v>333</v>
      </c>
      <c r="C29" s="13" t="s">
        <v>322</v>
      </c>
      <c r="D29" s="14" t="s">
        <v>334</v>
      </c>
      <c r="E29" s="15">
        <f t="shared" si="1"/>
        <v>16000000</v>
      </c>
      <c r="F29" s="13" t="s">
        <v>32</v>
      </c>
      <c r="G29" s="13" t="s">
        <v>324</v>
      </c>
      <c r="H29" s="13" t="s">
        <v>34</v>
      </c>
      <c r="I29" s="13" t="s">
        <v>335</v>
      </c>
      <c r="J29" s="13" t="s">
        <v>34</v>
      </c>
      <c r="K29" s="13" t="s">
        <v>36</v>
      </c>
      <c r="L29" s="16">
        <f t="shared" si="2"/>
        <v>16</v>
      </c>
      <c r="M29" s="13" t="s">
        <v>54</v>
      </c>
      <c r="N29" s="13" t="s">
        <v>125</v>
      </c>
      <c r="O29" s="17">
        <f t="shared" si="3"/>
        <v>1024</v>
      </c>
      <c r="P29" s="13" t="s">
        <v>39</v>
      </c>
      <c r="Q29" s="13" t="s">
        <v>101</v>
      </c>
      <c r="R29" s="18">
        <f t="shared" si="4"/>
        <v>1.4</v>
      </c>
      <c r="S29" s="13" t="s">
        <v>41</v>
      </c>
      <c r="T29" s="19">
        <f t="shared" si="10"/>
        <v>14</v>
      </c>
      <c r="U29" s="13" t="s">
        <v>42</v>
      </c>
      <c r="V29" s="13" t="s">
        <v>81</v>
      </c>
      <c r="W29" s="12" t="s">
        <v>336</v>
      </c>
      <c r="X29" s="20" t="s">
        <v>337</v>
      </c>
      <c r="Y29" s="27" t="s">
        <v>317</v>
      </c>
      <c r="Z29" s="12" t="s">
        <v>338</v>
      </c>
      <c r="AA29" s="22" t="s">
        <v>129</v>
      </c>
      <c r="AB29" s="23" t="s">
        <v>339</v>
      </c>
    </row>
    <row r="30">
      <c r="A30" s="12" t="s">
        <v>340</v>
      </c>
      <c r="B30" s="13" t="s">
        <v>341</v>
      </c>
      <c r="C30" s="13" t="s">
        <v>322</v>
      </c>
      <c r="D30" s="14" t="s">
        <v>342</v>
      </c>
      <c r="E30" s="15">
        <f t="shared" si="1"/>
        <v>20449000</v>
      </c>
      <c r="F30" s="13" t="s">
        <v>32</v>
      </c>
      <c r="G30" s="13" t="s">
        <v>194</v>
      </c>
      <c r="H30" s="13" t="s">
        <v>135</v>
      </c>
      <c r="I30" s="13" t="s">
        <v>136</v>
      </c>
      <c r="J30" s="13" t="s">
        <v>34</v>
      </c>
      <c r="K30" s="13" t="s">
        <v>36</v>
      </c>
      <c r="L30" s="16">
        <f t="shared" si="2"/>
        <v>16</v>
      </c>
      <c r="M30" s="13" t="s">
        <v>54</v>
      </c>
      <c r="N30" s="13" t="s">
        <v>38</v>
      </c>
      <c r="O30" s="17">
        <f t="shared" si="3"/>
        <v>512</v>
      </c>
      <c r="P30" s="13" t="s">
        <v>39</v>
      </c>
      <c r="Q30" s="13" t="s">
        <v>137</v>
      </c>
      <c r="R30" s="18">
        <f t="shared" si="4"/>
        <v>1.95</v>
      </c>
      <c r="S30" s="13" t="s">
        <v>138</v>
      </c>
      <c r="T30" s="19">
        <f t="shared" si="10"/>
        <v>16</v>
      </c>
      <c r="U30" s="13" t="s">
        <v>343</v>
      </c>
      <c r="V30" s="13" t="s">
        <v>43</v>
      </c>
      <c r="W30" s="12" t="s">
        <v>344</v>
      </c>
      <c r="X30" s="20" t="s">
        <v>345</v>
      </c>
      <c r="Y30" s="21" t="s">
        <v>346</v>
      </c>
      <c r="Z30" s="12" t="s">
        <v>347</v>
      </c>
      <c r="AA30" s="22" t="s">
        <v>348</v>
      </c>
      <c r="AB30" s="23" t="s">
        <v>349</v>
      </c>
    </row>
    <row r="31">
      <c r="A31" s="12" t="s">
        <v>350</v>
      </c>
      <c r="B31" s="13" t="s">
        <v>351</v>
      </c>
      <c r="C31" s="13" t="s">
        <v>322</v>
      </c>
      <c r="D31" s="14" t="s">
        <v>352</v>
      </c>
      <c r="E31" s="15">
        <f t="shared" si="1"/>
        <v>45299000</v>
      </c>
      <c r="F31" s="13" t="s">
        <v>32</v>
      </c>
      <c r="G31" s="13" t="s">
        <v>194</v>
      </c>
      <c r="H31" s="13" t="s">
        <v>135</v>
      </c>
      <c r="I31" s="13" t="s">
        <v>353</v>
      </c>
      <c r="J31" s="13" t="s">
        <v>90</v>
      </c>
      <c r="K31" s="13" t="s">
        <v>208</v>
      </c>
      <c r="L31" s="16">
        <f t="shared" si="2"/>
        <v>32</v>
      </c>
      <c r="M31" s="13" t="s">
        <v>209</v>
      </c>
      <c r="N31" s="13" t="s">
        <v>125</v>
      </c>
      <c r="O31" s="17">
        <f t="shared" si="3"/>
        <v>1024</v>
      </c>
      <c r="P31" s="13" t="s">
        <v>39</v>
      </c>
      <c r="Q31" s="13" t="s">
        <v>354</v>
      </c>
      <c r="R31" s="18">
        <f t="shared" si="4"/>
        <v>1.85</v>
      </c>
      <c r="S31" s="13" t="s">
        <v>138</v>
      </c>
      <c r="T31" s="19">
        <f t="shared" si="10"/>
        <v>16</v>
      </c>
      <c r="U31" s="13" t="s">
        <v>197</v>
      </c>
      <c r="V31" s="13" t="s">
        <v>211</v>
      </c>
      <c r="W31" s="12" t="s">
        <v>355</v>
      </c>
      <c r="X31" s="25" t="s">
        <v>356</v>
      </c>
      <c r="Y31" s="26" t="s">
        <v>357</v>
      </c>
      <c r="Z31" s="12" t="s">
        <v>347</v>
      </c>
      <c r="AA31" s="22" t="s">
        <v>358</v>
      </c>
      <c r="AB31" s="23" t="s">
        <v>359</v>
      </c>
    </row>
    <row r="32">
      <c r="A32" s="12" t="s">
        <v>360</v>
      </c>
      <c r="B32" s="13" t="s">
        <v>361</v>
      </c>
      <c r="C32" s="13" t="s">
        <v>322</v>
      </c>
      <c r="D32" s="14" t="s">
        <v>362</v>
      </c>
      <c r="E32" s="15">
        <f t="shared" si="1"/>
        <v>36999000</v>
      </c>
      <c r="F32" s="13" t="s">
        <v>32</v>
      </c>
      <c r="G32" s="13" t="s">
        <v>363</v>
      </c>
      <c r="H32" s="13" t="s">
        <v>90</v>
      </c>
      <c r="I32" s="13" t="s">
        <v>364</v>
      </c>
      <c r="J32" s="13" t="s">
        <v>90</v>
      </c>
      <c r="K32" s="13" t="s">
        <v>208</v>
      </c>
      <c r="L32" s="16">
        <f t="shared" si="2"/>
        <v>32</v>
      </c>
      <c r="M32" s="13" t="s">
        <v>209</v>
      </c>
      <c r="N32" s="13" t="s">
        <v>125</v>
      </c>
      <c r="O32" s="17">
        <f t="shared" si="3"/>
        <v>1024</v>
      </c>
      <c r="P32" s="13" t="s">
        <v>39</v>
      </c>
      <c r="Q32" s="13" t="s">
        <v>303</v>
      </c>
      <c r="R32" s="18">
        <f t="shared" si="4"/>
        <v>1.55</v>
      </c>
      <c r="S32" s="13" t="s">
        <v>365</v>
      </c>
      <c r="T32" s="19">
        <f>VALUE(SUBSTITUTE(SUBSTITUTE(S32, " Inch", ""), ",", "."))</f>
        <v>13.4</v>
      </c>
      <c r="U32" s="13" t="s">
        <v>42</v>
      </c>
      <c r="V32" s="13" t="s">
        <v>198</v>
      </c>
      <c r="W32" s="12" t="s">
        <v>366</v>
      </c>
      <c r="X32" s="20" t="s">
        <v>367</v>
      </c>
      <c r="Y32" s="21" t="s">
        <v>368</v>
      </c>
      <c r="Z32" s="12" t="s">
        <v>369</v>
      </c>
      <c r="AA32" s="22" t="s">
        <v>370</v>
      </c>
      <c r="AB32" s="23" t="s">
        <v>371</v>
      </c>
    </row>
    <row r="33">
      <c r="A33" s="12" t="s">
        <v>372</v>
      </c>
      <c r="B33" s="13" t="s">
        <v>373</v>
      </c>
      <c r="C33" s="13" t="s">
        <v>322</v>
      </c>
      <c r="D33" s="14" t="s">
        <v>374</v>
      </c>
      <c r="E33" s="15">
        <f t="shared" si="1"/>
        <v>43799000</v>
      </c>
      <c r="F33" s="13" t="s">
        <v>32</v>
      </c>
      <c r="G33" s="13" t="s">
        <v>375</v>
      </c>
      <c r="H33" s="13" t="s">
        <v>135</v>
      </c>
      <c r="I33" s="13" t="s">
        <v>376</v>
      </c>
      <c r="J33" s="13" t="s">
        <v>90</v>
      </c>
      <c r="K33" s="13" t="s">
        <v>208</v>
      </c>
      <c r="L33" s="16">
        <f t="shared" si="2"/>
        <v>32</v>
      </c>
      <c r="M33" s="13" t="s">
        <v>54</v>
      </c>
      <c r="N33" s="13" t="s">
        <v>125</v>
      </c>
      <c r="O33" s="17">
        <f t="shared" si="3"/>
        <v>1024</v>
      </c>
      <c r="P33" s="13" t="s">
        <v>39</v>
      </c>
      <c r="Q33" s="13" t="s">
        <v>377</v>
      </c>
      <c r="R33" s="18">
        <f t="shared" si="4"/>
        <v>2.5</v>
      </c>
      <c r="S33" s="13" t="s">
        <v>138</v>
      </c>
      <c r="T33" s="19">
        <f t="shared" ref="T33:T37" si="11">VALUE(SUBSTITUTE(S33, " Inch", ""))</f>
        <v>16</v>
      </c>
      <c r="U33" s="13" t="s">
        <v>42</v>
      </c>
      <c r="V33" s="13" t="s">
        <v>198</v>
      </c>
      <c r="W33" s="12" t="s">
        <v>378</v>
      </c>
      <c r="X33" s="20" t="s">
        <v>379</v>
      </c>
      <c r="Y33" s="21" t="s">
        <v>380</v>
      </c>
      <c r="Z33" s="12" t="s">
        <v>347</v>
      </c>
      <c r="AA33" s="22" t="s">
        <v>381</v>
      </c>
      <c r="AB33" s="23" t="s">
        <v>382</v>
      </c>
    </row>
    <row r="34">
      <c r="A34" s="12" t="s">
        <v>383</v>
      </c>
      <c r="B34" s="13" t="s">
        <v>373</v>
      </c>
      <c r="C34" s="13" t="s">
        <v>322</v>
      </c>
      <c r="D34" s="14" t="s">
        <v>384</v>
      </c>
      <c r="E34" s="15">
        <f t="shared" si="1"/>
        <v>40999000</v>
      </c>
      <c r="F34" s="13" t="s">
        <v>32</v>
      </c>
      <c r="G34" s="13" t="s">
        <v>375</v>
      </c>
      <c r="H34" s="13" t="s">
        <v>135</v>
      </c>
      <c r="I34" s="13" t="s">
        <v>385</v>
      </c>
      <c r="J34" s="13" t="s">
        <v>90</v>
      </c>
      <c r="K34" s="13" t="s">
        <v>36</v>
      </c>
      <c r="L34" s="16">
        <f t="shared" si="2"/>
        <v>16</v>
      </c>
      <c r="M34" s="13" t="s">
        <v>54</v>
      </c>
      <c r="N34" s="13" t="s">
        <v>125</v>
      </c>
      <c r="O34" s="17">
        <f t="shared" si="3"/>
        <v>1024</v>
      </c>
      <c r="P34" s="13" t="s">
        <v>39</v>
      </c>
      <c r="Q34" s="13" t="s">
        <v>377</v>
      </c>
      <c r="R34" s="18">
        <f t="shared" si="4"/>
        <v>2.5</v>
      </c>
      <c r="S34" s="13" t="s">
        <v>138</v>
      </c>
      <c r="T34" s="19">
        <f t="shared" si="11"/>
        <v>16</v>
      </c>
      <c r="U34" s="13" t="s">
        <v>42</v>
      </c>
      <c r="V34" s="13" t="s">
        <v>43</v>
      </c>
      <c r="W34" s="12" t="s">
        <v>386</v>
      </c>
      <c r="X34" s="20" t="s">
        <v>387</v>
      </c>
      <c r="Y34" s="21" t="s">
        <v>388</v>
      </c>
      <c r="Z34" s="12" t="s">
        <v>347</v>
      </c>
      <c r="AA34" s="22" t="s">
        <v>389</v>
      </c>
      <c r="AB34" s="23" t="s">
        <v>390</v>
      </c>
    </row>
    <row r="35">
      <c r="A35" s="12" t="s">
        <v>391</v>
      </c>
      <c r="B35" s="13" t="s">
        <v>392</v>
      </c>
      <c r="C35" s="13" t="s">
        <v>322</v>
      </c>
      <c r="D35" s="14" t="s">
        <v>393</v>
      </c>
      <c r="E35" s="15">
        <f t="shared" si="1"/>
        <v>79599000</v>
      </c>
      <c r="F35" s="13" t="s">
        <v>32</v>
      </c>
      <c r="G35" s="13" t="s">
        <v>394</v>
      </c>
      <c r="H35" s="13" t="s">
        <v>135</v>
      </c>
      <c r="I35" s="13" t="s">
        <v>395</v>
      </c>
      <c r="J35" s="13" t="s">
        <v>34</v>
      </c>
      <c r="K35" s="13" t="s">
        <v>208</v>
      </c>
      <c r="L35" s="16">
        <f t="shared" si="2"/>
        <v>32</v>
      </c>
      <c r="M35" s="13" t="s">
        <v>54</v>
      </c>
      <c r="N35" s="13" t="s">
        <v>396</v>
      </c>
      <c r="O35" s="17">
        <f t="shared" si="3"/>
        <v>2048</v>
      </c>
      <c r="P35" s="13" t="s">
        <v>39</v>
      </c>
      <c r="Q35" s="13" t="s">
        <v>397</v>
      </c>
      <c r="R35" s="18">
        <f t="shared" si="4"/>
        <v>2.8</v>
      </c>
      <c r="S35" s="13" t="s">
        <v>138</v>
      </c>
      <c r="T35" s="19">
        <f t="shared" si="11"/>
        <v>16</v>
      </c>
      <c r="U35" s="13" t="s">
        <v>305</v>
      </c>
      <c r="V35" s="13" t="s">
        <v>198</v>
      </c>
      <c r="W35" s="12" t="s">
        <v>398</v>
      </c>
      <c r="X35" s="20" t="s">
        <v>399</v>
      </c>
      <c r="Y35" s="21" t="s">
        <v>400</v>
      </c>
      <c r="Z35" s="12" t="s">
        <v>401</v>
      </c>
      <c r="AA35" s="22" t="s">
        <v>402</v>
      </c>
      <c r="AB35" s="23" t="s">
        <v>403</v>
      </c>
    </row>
    <row r="36">
      <c r="A36" s="12" t="s">
        <v>404</v>
      </c>
      <c r="B36" s="13" t="s">
        <v>405</v>
      </c>
      <c r="C36" s="13" t="s">
        <v>322</v>
      </c>
      <c r="D36" s="14" t="s">
        <v>406</v>
      </c>
      <c r="E36" s="15">
        <f t="shared" si="1"/>
        <v>33199000</v>
      </c>
      <c r="F36" s="13" t="s">
        <v>32</v>
      </c>
      <c r="G36" s="13" t="s">
        <v>168</v>
      </c>
      <c r="H36" s="13" t="s">
        <v>135</v>
      </c>
      <c r="I36" s="13" t="s">
        <v>407</v>
      </c>
      <c r="J36" s="13" t="s">
        <v>90</v>
      </c>
      <c r="K36" s="13" t="s">
        <v>208</v>
      </c>
      <c r="L36" s="16">
        <f t="shared" si="2"/>
        <v>32</v>
      </c>
      <c r="M36" s="13" t="s">
        <v>209</v>
      </c>
      <c r="N36" s="13" t="s">
        <v>125</v>
      </c>
      <c r="O36" s="17">
        <f t="shared" si="3"/>
        <v>1024</v>
      </c>
      <c r="P36" s="13" t="s">
        <v>39</v>
      </c>
      <c r="Q36" s="13" t="s">
        <v>55</v>
      </c>
      <c r="R36" s="18">
        <f t="shared" si="4"/>
        <v>1.5</v>
      </c>
      <c r="S36" s="13" t="s">
        <v>41</v>
      </c>
      <c r="T36" s="19">
        <f t="shared" si="11"/>
        <v>14</v>
      </c>
      <c r="U36" s="13" t="s">
        <v>197</v>
      </c>
      <c r="V36" s="13" t="s">
        <v>211</v>
      </c>
      <c r="W36" s="12" t="s">
        <v>408</v>
      </c>
      <c r="X36" s="20" t="s">
        <v>409</v>
      </c>
      <c r="Y36" s="21" t="s">
        <v>410</v>
      </c>
      <c r="Z36" s="12" t="s">
        <v>411</v>
      </c>
      <c r="AA36" s="22" t="s">
        <v>412</v>
      </c>
      <c r="AB36" s="23" t="s">
        <v>413</v>
      </c>
    </row>
    <row r="37">
      <c r="A37" s="12" t="s">
        <v>414</v>
      </c>
      <c r="B37" s="13" t="s">
        <v>415</v>
      </c>
      <c r="C37" s="13" t="s">
        <v>322</v>
      </c>
      <c r="D37" s="14" t="s">
        <v>416</v>
      </c>
      <c r="E37" s="15">
        <f t="shared" si="1"/>
        <v>34799000</v>
      </c>
      <c r="F37" s="13" t="s">
        <v>32</v>
      </c>
      <c r="G37" s="13" t="s">
        <v>168</v>
      </c>
      <c r="H37" s="13" t="s">
        <v>135</v>
      </c>
      <c r="I37" s="13" t="s">
        <v>417</v>
      </c>
      <c r="J37" s="13" t="s">
        <v>90</v>
      </c>
      <c r="K37" s="13" t="s">
        <v>208</v>
      </c>
      <c r="L37" s="16">
        <f t="shared" si="2"/>
        <v>32</v>
      </c>
      <c r="M37" s="13" t="s">
        <v>209</v>
      </c>
      <c r="N37" s="13" t="s">
        <v>125</v>
      </c>
      <c r="O37" s="17">
        <f t="shared" si="3"/>
        <v>1024</v>
      </c>
      <c r="P37" s="13" t="s">
        <v>39</v>
      </c>
      <c r="Q37" s="13" t="s">
        <v>354</v>
      </c>
      <c r="R37" s="18">
        <f t="shared" si="4"/>
        <v>1.85</v>
      </c>
      <c r="S37" s="13" t="s">
        <v>138</v>
      </c>
      <c r="T37" s="19">
        <f t="shared" si="11"/>
        <v>16</v>
      </c>
      <c r="U37" s="13" t="s">
        <v>197</v>
      </c>
      <c r="V37" s="13" t="s">
        <v>198</v>
      </c>
      <c r="W37" s="12" t="s">
        <v>418</v>
      </c>
      <c r="X37" s="20" t="s">
        <v>419</v>
      </c>
      <c r="Y37" s="21" t="s">
        <v>420</v>
      </c>
      <c r="Z37" s="12" t="s">
        <v>401</v>
      </c>
      <c r="AA37" s="22" t="s">
        <v>421</v>
      </c>
      <c r="AB37" s="23" t="s">
        <v>422</v>
      </c>
    </row>
    <row r="38">
      <c r="A38" s="12" t="s">
        <v>423</v>
      </c>
      <c r="B38" s="13" t="s">
        <v>424</v>
      </c>
      <c r="C38" s="13" t="s">
        <v>322</v>
      </c>
      <c r="D38" s="14" t="s">
        <v>425</v>
      </c>
      <c r="E38" s="15">
        <f t="shared" si="1"/>
        <v>16349000</v>
      </c>
      <c r="F38" s="13" t="s">
        <v>32</v>
      </c>
      <c r="G38" s="13" t="s">
        <v>134</v>
      </c>
      <c r="H38" s="13" t="s">
        <v>135</v>
      </c>
      <c r="I38" s="13" t="s">
        <v>426</v>
      </c>
      <c r="J38" s="13" t="s">
        <v>90</v>
      </c>
      <c r="K38" s="13" t="s">
        <v>36</v>
      </c>
      <c r="L38" s="16">
        <f t="shared" si="2"/>
        <v>16</v>
      </c>
      <c r="M38" s="13" t="s">
        <v>54</v>
      </c>
      <c r="N38" s="13" t="s">
        <v>38</v>
      </c>
      <c r="O38" s="17">
        <f t="shared" si="3"/>
        <v>512</v>
      </c>
      <c r="P38" s="13" t="s">
        <v>39</v>
      </c>
      <c r="Q38" s="13" t="s">
        <v>427</v>
      </c>
      <c r="R38" s="18">
        <f t="shared" si="4"/>
        <v>2.3</v>
      </c>
      <c r="S38" s="13" t="s">
        <v>113</v>
      </c>
      <c r="T38" s="19">
        <f t="shared" ref="T38:T39" si="12">VALUE(SUBSTITUTE(SUBSTITUTE(S38, " Inch", ""), ",", "."))</f>
        <v>15.6</v>
      </c>
      <c r="U38" s="13" t="s">
        <v>42</v>
      </c>
      <c r="V38" s="13" t="s">
        <v>81</v>
      </c>
      <c r="W38" s="12" t="s">
        <v>428</v>
      </c>
      <c r="X38" s="20" t="s">
        <v>429</v>
      </c>
      <c r="Y38" s="21" t="s">
        <v>430</v>
      </c>
      <c r="Z38" s="12" t="s">
        <v>152</v>
      </c>
      <c r="AA38" s="22" t="s">
        <v>180</v>
      </c>
      <c r="AB38" s="23" t="s">
        <v>431</v>
      </c>
    </row>
    <row r="39">
      <c r="A39" s="12" t="s">
        <v>432</v>
      </c>
      <c r="B39" s="13" t="s">
        <v>424</v>
      </c>
      <c r="C39" s="13" t="s">
        <v>322</v>
      </c>
      <c r="D39" s="14" t="s">
        <v>433</v>
      </c>
      <c r="E39" s="15">
        <f t="shared" si="1"/>
        <v>15379000</v>
      </c>
      <c r="F39" s="13" t="s">
        <v>32</v>
      </c>
      <c r="G39" s="13" t="s">
        <v>134</v>
      </c>
      <c r="H39" s="13" t="s">
        <v>135</v>
      </c>
      <c r="I39" s="13" t="s">
        <v>426</v>
      </c>
      <c r="J39" s="13" t="s">
        <v>90</v>
      </c>
      <c r="K39" s="13" t="s">
        <v>67</v>
      </c>
      <c r="L39" s="16">
        <f t="shared" si="2"/>
        <v>8</v>
      </c>
      <c r="M39" s="13" t="s">
        <v>54</v>
      </c>
      <c r="N39" s="13" t="s">
        <v>38</v>
      </c>
      <c r="O39" s="17">
        <f t="shared" si="3"/>
        <v>512</v>
      </c>
      <c r="P39" s="13" t="s">
        <v>39</v>
      </c>
      <c r="Q39" s="13" t="s">
        <v>427</v>
      </c>
      <c r="R39" s="18">
        <f t="shared" si="4"/>
        <v>2.3</v>
      </c>
      <c r="S39" s="13" t="s">
        <v>113</v>
      </c>
      <c r="T39" s="19">
        <f t="shared" si="12"/>
        <v>15.6</v>
      </c>
      <c r="U39" s="13" t="s">
        <v>42</v>
      </c>
      <c r="V39" s="13" t="s">
        <v>81</v>
      </c>
      <c r="W39" s="12" t="s">
        <v>434</v>
      </c>
      <c r="X39" s="20" t="s">
        <v>435</v>
      </c>
      <c r="Y39" s="21" t="s">
        <v>436</v>
      </c>
      <c r="Z39" s="12" t="s">
        <v>437</v>
      </c>
      <c r="AA39" s="22" t="s">
        <v>438</v>
      </c>
      <c r="AB39" s="23" t="s">
        <v>439</v>
      </c>
    </row>
    <row r="40">
      <c r="A40" s="12" t="s">
        <v>440</v>
      </c>
      <c r="B40" s="13" t="s">
        <v>441</v>
      </c>
      <c r="C40" s="13" t="s">
        <v>322</v>
      </c>
      <c r="D40" s="14" t="s">
        <v>442</v>
      </c>
      <c r="E40" s="15">
        <f t="shared" si="1"/>
        <v>23299000</v>
      </c>
      <c r="F40" s="13" t="s">
        <v>32</v>
      </c>
      <c r="G40" s="13" t="s">
        <v>168</v>
      </c>
      <c r="H40" s="13" t="s">
        <v>135</v>
      </c>
      <c r="I40" s="13" t="s">
        <v>443</v>
      </c>
      <c r="J40" s="13" t="s">
        <v>34</v>
      </c>
      <c r="K40" s="13" t="s">
        <v>36</v>
      </c>
      <c r="L40" s="16">
        <f t="shared" si="2"/>
        <v>16</v>
      </c>
      <c r="M40" s="13" t="s">
        <v>54</v>
      </c>
      <c r="N40" s="13" t="s">
        <v>38</v>
      </c>
      <c r="O40" s="17">
        <f t="shared" si="3"/>
        <v>512</v>
      </c>
      <c r="P40" s="13" t="s">
        <v>39</v>
      </c>
      <c r="Q40" s="13" t="s">
        <v>444</v>
      </c>
      <c r="R40" s="18">
        <f t="shared" si="4"/>
        <v>2.2</v>
      </c>
      <c r="S40" s="13" t="s">
        <v>138</v>
      </c>
      <c r="T40" s="19">
        <f t="shared" ref="T40:T50" si="13">VALUE(SUBSTITUTE(S40, " Inch", ""))</f>
        <v>16</v>
      </c>
      <c r="U40" s="13" t="s">
        <v>42</v>
      </c>
      <c r="V40" s="13" t="s">
        <v>43</v>
      </c>
      <c r="W40" s="12" t="s">
        <v>445</v>
      </c>
      <c r="X40" s="20" t="s">
        <v>446</v>
      </c>
      <c r="Y40" s="21" t="s">
        <v>447</v>
      </c>
      <c r="Z40" s="12" t="s">
        <v>347</v>
      </c>
      <c r="AA40" s="22" t="s">
        <v>448</v>
      </c>
      <c r="AB40" s="23" t="s">
        <v>449</v>
      </c>
    </row>
    <row r="41">
      <c r="A41" s="12" t="s">
        <v>450</v>
      </c>
      <c r="B41" s="13" t="s">
        <v>451</v>
      </c>
      <c r="C41" s="13" t="s">
        <v>322</v>
      </c>
      <c r="D41" s="14" t="s">
        <v>452</v>
      </c>
      <c r="E41" s="15">
        <f t="shared" si="1"/>
        <v>8199000</v>
      </c>
      <c r="F41" s="13" t="s">
        <v>32</v>
      </c>
      <c r="G41" s="13" t="s">
        <v>33</v>
      </c>
      <c r="H41" s="13" t="s">
        <v>34</v>
      </c>
      <c r="I41" s="13" t="s">
        <v>35</v>
      </c>
      <c r="J41" s="13" t="s">
        <v>34</v>
      </c>
      <c r="K41" s="13" t="s">
        <v>67</v>
      </c>
      <c r="L41" s="16">
        <f t="shared" si="2"/>
        <v>8</v>
      </c>
      <c r="M41" s="13" t="s">
        <v>79</v>
      </c>
      <c r="N41" s="13" t="s">
        <v>234</v>
      </c>
      <c r="O41" s="17">
        <f t="shared" si="3"/>
        <v>256</v>
      </c>
      <c r="P41" s="13" t="s">
        <v>39</v>
      </c>
      <c r="Q41" s="13" t="s">
        <v>101</v>
      </c>
      <c r="R41" s="18">
        <f t="shared" si="4"/>
        <v>1.4</v>
      </c>
      <c r="S41" s="13" t="s">
        <v>41</v>
      </c>
      <c r="T41" s="19">
        <f t="shared" si="13"/>
        <v>14</v>
      </c>
      <c r="U41" s="13" t="s">
        <v>42</v>
      </c>
      <c r="V41" s="13" t="s">
        <v>81</v>
      </c>
      <c r="W41" s="12" t="s">
        <v>453</v>
      </c>
      <c r="X41" s="20" t="s">
        <v>454</v>
      </c>
      <c r="Y41" s="21" t="s">
        <v>455</v>
      </c>
      <c r="Z41" s="12" t="s">
        <v>456</v>
      </c>
      <c r="AA41" s="22" t="s">
        <v>85</v>
      </c>
      <c r="AB41" s="23" t="s">
        <v>457</v>
      </c>
    </row>
    <row r="42">
      <c r="A42" s="12" t="s">
        <v>458</v>
      </c>
      <c r="B42" s="13" t="s">
        <v>451</v>
      </c>
      <c r="C42" s="13" t="s">
        <v>322</v>
      </c>
      <c r="D42" s="14" t="s">
        <v>459</v>
      </c>
      <c r="E42" s="15">
        <f t="shared" si="1"/>
        <v>8969000</v>
      </c>
      <c r="F42" s="13" t="s">
        <v>32</v>
      </c>
      <c r="G42" s="13" t="s">
        <v>33</v>
      </c>
      <c r="H42" s="13" t="s">
        <v>34</v>
      </c>
      <c r="I42" s="13" t="s">
        <v>35</v>
      </c>
      <c r="J42" s="13" t="s">
        <v>34</v>
      </c>
      <c r="K42" s="13" t="s">
        <v>67</v>
      </c>
      <c r="L42" s="16">
        <f t="shared" si="2"/>
        <v>8</v>
      </c>
      <c r="M42" s="13" t="s">
        <v>79</v>
      </c>
      <c r="N42" s="13" t="s">
        <v>38</v>
      </c>
      <c r="O42" s="17">
        <f t="shared" si="3"/>
        <v>512</v>
      </c>
      <c r="P42" s="13" t="s">
        <v>39</v>
      </c>
      <c r="Q42" s="13" t="s">
        <v>460</v>
      </c>
      <c r="R42" s="18">
        <f t="shared" si="4"/>
        <v>1.38</v>
      </c>
      <c r="S42" s="13" t="s">
        <v>41</v>
      </c>
      <c r="T42" s="19">
        <f t="shared" si="13"/>
        <v>14</v>
      </c>
      <c r="U42" s="13" t="s">
        <v>42</v>
      </c>
      <c r="V42" s="13" t="s">
        <v>81</v>
      </c>
      <c r="W42" s="12" t="s">
        <v>461</v>
      </c>
      <c r="X42" s="20" t="s">
        <v>462</v>
      </c>
      <c r="Y42" s="21" t="s">
        <v>463</v>
      </c>
      <c r="Z42" s="12" t="s">
        <v>456</v>
      </c>
      <c r="AA42" s="22" t="s">
        <v>73</v>
      </c>
      <c r="AB42" s="23" t="s">
        <v>464</v>
      </c>
    </row>
    <row r="43">
      <c r="A43" s="12" t="s">
        <v>465</v>
      </c>
      <c r="B43" s="13" t="s">
        <v>451</v>
      </c>
      <c r="C43" s="13" t="s">
        <v>322</v>
      </c>
      <c r="D43" s="14" t="s">
        <v>459</v>
      </c>
      <c r="E43" s="15">
        <f t="shared" si="1"/>
        <v>8969000</v>
      </c>
      <c r="F43" s="13" t="s">
        <v>32</v>
      </c>
      <c r="G43" s="13" t="s">
        <v>33</v>
      </c>
      <c r="H43" s="13" t="s">
        <v>34</v>
      </c>
      <c r="I43" s="13" t="s">
        <v>35</v>
      </c>
      <c r="J43" s="13" t="s">
        <v>34</v>
      </c>
      <c r="K43" s="13" t="s">
        <v>67</v>
      </c>
      <c r="L43" s="16">
        <f t="shared" si="2"/>
        <v>8</v>
      </c>
      <c r="M43" s="13" t="s">
        <v>79</v>
      </c>
      <c r="N43" s="13" t="s">
        <v>38</v>
      </c>
      <c r="O43" s="17">
        <f t="shared" si="3"/>
        <v>512</v>
      </c>
      <c r="P43" s="13" t="s">
        <v>39</v>
      </c>
      <c r="Q43" s="13" t="s">
        <v>460</v>
      </c>
      <c r="R43" s="18">
        <f t="shared" si="4"/>
        <v>1.38</v>
      </c>
      <c r="S43" s="13" t="s">
        <v>41</v>
      </c>
      <c r="T43" s="19">
        <f t="shared" si="13"/>
        <v>14</v>
      </c>
      <c r="U43" s="13" t="s">
        <v>42</v>
      </c>
      <c r="V43" s="13" t="s">
        <v>81</v>
      </c>
      <c r="W43" s="12" t="s">
        <v>466</v>
      </c>
      <c r="X43" s="20" t="s">
        <v>467</v>
      </c>
      <c r="Y43" s="21" t="s">
        <v>468</v>
      </c>
      <c r="Z43" s="12" t="s">
        <v>456</v>
      </c>
      <c r="AA43" s="22" t="s">
        <v>73</v>
      </c>
      <c r="AB43" s="23" t="s">
        <v>464</v>
      </c>
    </row>
    <row r="44">
      <c r="A44" s="12" t="s">
        <v>469</v>
      </c>
      <c r="B44" s="13" t="s">
        <v>470</v>
      </c>
      <c r="C44" s="13" t="s">
        <v>322</v>
      </c>
      <c r="D44" s="14" t="s">
        <v>471</v>
      </c>
      <c r="E44" s="15">
        <f t="shared" si="1"/>
        <v>9099000</v>
      </c>
      <c r="F44" s="13" t="s">
        <v>32</v>
      </c>
      <c r="G44" s="13" t="s">
        <v>123</v>
      </c>
      <c r="H44" s="13" t="s">
        <v>34</v>
      </c>
      <c r="I44" s="13" t="s">
        <v>472</v>
      </c>
      <c r="J44" s="13" t="s">
        <v>34</v>
      </c>
      <c r="K44" s="13" t="s">
        <v>67</v>
      </c>
      <c r="L44" s="16">
        <f t="shared" si="2"/>
        <v>8</v>
      </c>
      <c r="M44" s="13" t="s">
        <v>79</v>
      </c>
      <c r="N44" s="13" t="s">
        <v>38</v>
      </c>
      <c r="O44" s="17">
        <f t="shared" si="3"/>
        <v>512</v>
      </c>
      <c r="P44" s="13" t="s">
        <v>39</v>
      </c>
      <c r="Q44" s="13" t="s">
        <v>101</v>
      </c>
      <c r="R44" s="18">
        <f t="shared" si="4"/>
        <v>1.4</v>
      </c>
      <c r="S44" s="13" t="s">
        <v>41</v>
      </c>
      <c r="T44" s="19">
        <f t="shared" si="13"/>
        <v>14</v>
      </c>
      <c r="U44" s="13" t="s">
        <v>42</v>
      </c>
      <c r="V44" s="13" t="s">
        <v>81</v>
      </c>
      <c r="W44" s="12" t="s">
        <v>473</v>
      </c>
      <c r="X44" s="20" t="s">
        <v>474</v>
      </c>
      <c r="Y44" s="21" t="s">
        <v>475</v>
      </c>
      <c r="Z44" s="12" t="s">
        <v>72</v>
      </c>
      <c r="AA44" s="22" t="s">
        <v>73</v>
      </c>
      <c r="AB44" s="23" t="s">
        <v>476</v>
      </c>
    </row>
    <row r="45">
      <c r="A45" s="12" t="s">
        <v>477</v>
      </c>
      <c r="B45" s="13" t="s">
        <v>470</v>
      </c>
      <c r="C45" s="13" t="s">
        <v>322</v>
      </c>
      <c r="D45" s="14" t="s">
        <v>471</v>
      </c>
      <c r="E45" s="15">
        <f t="shared" si="1"/>
        <v>9099000</v>
      </c>
      <c r="F45" s="13" t="s">
        <v>32</v>
      </c>
      <c r="G45" s="13" t="s">
        <v>123</v>
      </c>
      <c r="H45" s="13" t="s">
        <v>34</v>
      </c>
      <c r="I45" s="13" t="s">
        <v>472</v>
      </c>
      <c r="J45" s="13" t="s">
        <v>34</v>
      </c>
      <c r="K45" s="13" t="s">
        <v>67</v>
      </c>
      <c r="L45" s="16">
        <f t="shared" si="2"/>
        <v>8</v>
      </c>
      <c r="M45" s="13" t="s">
        <v>79</v>
      </c>
      <c r="N45" s="13" t="s">
        <v>38</v>
      </c>
      <c r="O45" s="17">
        <f t="shared" si="3"/>
        <v>512</v>
      </c>
      <c r="P45" s="13" t="s">
        <v>39</v>
      </c>
      <c r="Q45" s="13" t="s">
        <v>101</v>
      </c>
      <c r="R45" s="18">
        <f t="shared" si="4"/>
        <v>1.4</v>
      </c>
      <c r="S45" s="13" t="s">
        <v>41</v>
      </c>
      <c r="T45" s="19">
        <f t="shared" si="13"/>
        <v>14</v>
      </c>
      <c r="U45" s="13" t="s">
        <v>42</v>
      </c>
      <c r="V45" s="13" t="s">
        <v>81</v>
      </c>
      <c r="W45" s="12" t="s">
        <v>478</v>
      </c>
      <c r="X45" s="20" t="s">
        <v>479</v>
      </c>
      <c r="Y45" s="21" t="s">
        <v>480</v>
      </c>
      <c r="Z45" s="12" t="s">
        <v>72</v>
      </c>
      <c r="AA45" s="22" t="s">
        <v>73</v>
      </c>
      <c r="AB45" s="23" t="s">
        <v>476</v>
      </c>
    </row>
    <row r="46">
      <c r="A46" s="12" t="s">
        <v>481</v>
      </c>
      <c r="B46" s="13" t="s">
        <v>470</v>
      </c>
      <c r="C46" s="13" t="s">
        <v>322</v>
      </c>
      <c r="D46" s="14" t="s">
        <v>482</v>
      </c>
      <c r="E46" s="15">
        <f t="shared" si="1"/>
        <v>11049000</v>
      </c>
      <c r="F46" s="13" t="s">
        <v>32</v>
      </c>
      <c r="G46" s="13" t="s">
        <v>33</v>
      </c>
      <c r="H46" s="13" t="s">
        <v>34</v>
      </c>
      <c r="I46" s="13" t="s">
        <v>483</v>
      </c>
      <c r="J46" s="13" t="s">
        <v>34</v>
      </c>
      <c r="K46" s="13" t="s">
        <v>36</v>
      </c>
      <c r="L46" s="16">
        <f t="shared" si="2"/>
        <v>16</v>
      </c>
      <c r="M46" s="13" t="s">
        <v>79</v>
      </c>
      <c r="N46" s="13" t="s">
        <v>38</v>
      </c>
      <c r="O46" s="17">
        <f t="shared" si="3"/>
        <v>512</v>
      </c>
      <c r="P46" s="13" t="s">
        <v>39</v>
      </c>
      <c r="Q46" s="13" t="s">
        <v>101</v>
      </c>
      <c r="R46" s="18">
        <f t="shared" si="4"/>
        <v>1.4</v>
      </c>
      <c r="S46" s="13" t="s">
        <v>41</v>
      </c>
      <c r="T46" s="19">
        <f t="shared" si="13"/>
        <v>14</v>
      </c>
      <c r="U46" s="13" t="s">
        <v>42</v>
      </c>
      <c r="V46" s="13" t="s">
        <v>81</v>
      </c>
      <c r="W46" s="12" t="s">
        <v>484</v>
      </c>
      <c r="X46" s="20" t="s">
        <v>485</v>
      </c>
      <c r="Y46" s="21" t="s">
        <v>486</v>
      </c>
      <c r="Z46" s="12" t="s">
        <v>487</v>
      </c>
      <c r="AA46" s="22" t="s">
        <v>48</v>
      </c>
      <c r="AB46" s="23" t="s">
        <v>488</v>
      </c>
    </row>
    <row r="47">
      <c r="A47" s="12" t="s">
        <v>489</v>
      </c>
      <c r="B47" s="13" t="s">
        <v>470</v>
      </c>
      <c r="C47" s="13" t="s">
        <v>322</v>
      </c>
      <c r="D47" s="14" t="s">
        <v>490</v>
      </c>
      <c r="E47" s="15">
        <f t="shared" si="1"/>
        <v>10399000</v>
      </c>
      <c r="F47" s="13" t="s">
        <v>32</v>
      </c>
      <c r="G47" s="13" t="s">
        <v>33</v>
      </c>
      <c r="H47" s="13" t="s">
        <v>34</v>
      </c>
      <c r="I47" s="13" t="s">
        <v>491</v>
      </c>
      <c r="J47" s="13" t="s">
        <v>34</v>
      </c>
      <c r="K47" s="13" t="s">
        <v>67</v>
      </c>
      <c r="L47" s="16">
        <f t="shared" si="2"/>
        <v>8</v>
      </c>
      <c r="M47" s="13" t="s">
        <v>79</v>
      </c>
      <c r="N47" s="13" t="s">
        <v>38</v>
      </c>
      <c r="O47" s="17">
        <f t="shared" si="3"/>
        <v>512</v>
      </c>
      <c r="P47" s="13" t="s">
        <v>39</v>
      </c>
      <c r="Q47" s="13" t="s">
        <v>101</v>
      </c>
      <c r="R47" s="18">
        <f t="shared" si="4"/>
        <v>1.4</v>
      </c>
      <c r="S47" s="13" t="s">
        <v>41</v>
      </c>
      <c r="T47" s="19">
        <f t="shared" si="13"/>
        <v>14</v>
      </c>
      <c r="U47" s="13" t="s">
        <v>42</v>
      </c>
      <c r="V47" s="13" t="s">
        <v>81</v>
      </c>
      <c r="W47" s="12" t="s">
        <v>492</v>
      </c>
      <c r="X47" s="20" t="s">
        <v>493</v>
      </c>
      <c r="Y47" s="21" t="s">
        <v>494</v>
      </c>
      <c r="Z47" s="12" t="s">
        <v>495</v>
      </c>
      <c r="AA47" s="22" t="s">
        <v>496</v>
      </c>
      <c r="AB47" s="23" t="s">
        <v>497</v>
      </c>
    </row>
    <row r="48">
      <c r="A48" s="12" t="s">
        <v>498</v>
      </c>
      <c r="B48" s="13" t="s">
        <v>470</v>
      </c>
      <c r="C48" s="13" t="s">
        <v>322</v>
      </c>
      <c r="D48" s="14" t="s">
        <v>499</v>
      </c>
      <c r="E48" s="15">
        <f t="shared" si="1"/>
        <v>13899000</v>
      </c>
      <c r="F48" s="13" t="s">
        <v>32</v>
      </c>
      <c r="G48" s="13" t="s">
        <v>123</v>
      </c>
      <c r="H48" s="13" t="s">
        <v>34</v>
      </c>
      <c r="I48" s="13" t="s">
        <v>500</v>
      </c>
      <c r="J48" s="13" t="s">
        <v>34</v>
      </c>
      <c r="K48" s="13" t="s">
        <v>36</v>
      </c>
      <c r="L48" s="16">
        <f t="shared" si="2"/>
        <v>16</v>
      </c>
      <c r="M48" s="13" t="s">
        <v>54</v>
      </c>
      <c r="N48" s="13" t="s">
        <v>38</v>
      </c>
      <c r="O48" s="17">
        <f t="shared" si="3"/>
        <v>512</v>
      </c>
      <c r="P48" s="13" t="s">
        <v>39</v>
      </c>
      <c r="Q48" s="13" t="s">
        <v>55</v>
      </c>
      <c r="R48" s="18">
        <f t="shared" si="4"/>
        <v>1.5</v>
      </c>
      <c r="S48" s="13" t="s">
        <v>41</v>
      </c>
      <c r="T48" s="19">
        <f t="shared" si="13"/>
        <v>14</v>
      </c>
      <c r="U48" s="13" t="s">
        <v>42</v>
      </c>
      <c r="V48" s="13" t="s">
        <v>81</v>
      </c>
      <c r="W48" s="12" t="s">
        <v>501</v>
      </c>
      <c r="X48" s="20" t="s">
        <v>502</v>
      </c>
      <c r="Y48" s="21" t="s">
        <v>503</v>
      </c>
      <c r="Z48" s="12" t="s">
        <v>504</v>
      </c>
      <c r="AA48" s="22" t="s">
        <v>48</v>
      </c>
      <c r="AB48" s="23" t="s">
        <v>505</v>
      </c>
    </row>
    <row r="49">
      <c r="A49" s="12" t="s">
        <v>506</v>
      </c>
      <c r="B49" s="13" t="s">
        <v>470</v>
      </c>
      <c r="C49" s="13" t="s">
        <v>322</v>
      </c>
      <c r="D49" s="14" t="s">
        <v>507</v>
      </c>
      <c r="E49" s="15">
        <f t="shared" si="1"/>
        <v>12799000</v>
      </c>
      <c r="F49" s="13" t="s">
        <v>32</v>
      </c>
      <c r="G49" s="13" t="s">
        <v>123</v>
      </c>
      <c r="H49" s="13" t="s">
        <v>34</v>
      </c>
      <c r="I49" s="13" t="s">
        <v>500</v>
      </c>
      <c r="J49" s="13" t="s">
        <v>34</v>
      </c>
      <c r="K49" s="13" t="s">
        <v>67</v>
      </c>
      <c r="L49" s="16">
        <f t="shared" si="2"/>
        <v>8</v>
      </c>
      <c r="M49" s="13" t="s">
        <v>79</v>
      </c>
      <c r="N49" s="13" t="s">
        <v>38</v>
      </c>
      <c r="O49" s="17">
        <f t="shared" si="3"/>
        <v>512</v>
      </c>
      <c r="P49" s="13" t="s">
        <v>39</v>
      </c>
      <c r="Q49" s="13" t="s">
        <v>101</v>
      </c>
      <c r="R49" s="18">
        <f t="shared" si="4"/>
        <v>1.4</v>
      </c>
      <c r="S49" s="13" t="s">
        <v>41</v>
      </c>
      <c r="T49" s="19">
        <f t="shared" si="13"/>
        <v>14</v>
      </c>
      <c r="U49" s="13" t="s">
        <v>42</v>
      </c>
      <c r="V49" s="13" t="s">
        <v>81</v>
      </c>
      <c r="W49" s="12" t="s">
        <v>508</v>
      </c>
      <c r="X49" s="20" t="s">
        <v>509</v>
      </c>
      <c r="Y49" s="21" t="s">
        <v>510</v>
      </c>
      <c r="Z49" s="12" t="s">
        <v>495</v>
      </c>
      <c r="AA49" s="22" t="s">
        <v>73</v>
      </c>
      <c r="AB49" s="23" t="s">
        <v>511</v>
      </c>
    </row>
    <row r="50">
      <c r="A50" s="12" t="s">
        <v>512</v>
      </c>
      <c r="B50" s="13" t="s">
        <v>513</v>
      </c>
      <c r="C50" s="13" t="s">
        <v>322</v>
      </c>
      <c r="D50" s="14" t="s">
        <v>514</v>
      </c>
      <c r="E50" s="15">
        <f t="shared" si="1"/>
        <v>20149000</v>
      </c>
      <c r="F50" s="13" t="s">
        <v>32</v>
      </c>
      <c r="G50" s="13" t="s">
        <v>52</v>
      </c>
      <c r="H50" s="13" t="s">
        <v>34</v>
      </c>
      <c r="I50" s="13" t="s">
        <v>515</v>
      </c>
      <c r="J50" s="13" t="s">
        <v>34</v>
      </c>
      <c r="K50" s="13" t="s">
        <v>36</v>
      </c>
      <c r="L50" s="16">
        <f t="shared" si="2"/>
        <v>16</v>
      </c>
      <c r="M50" s="13" t="s">
        <v>209</v>
      </c>
      <c r="N50" s="13" t="s">
        <v>38</v>
      </c>
      <c r="O50" s="17">
        <f t="shared" si="3"/>
        <v>512</v>
      </c>
      <c r="P50" s="13" t="s">
        <v>39</v>
      </c>
      <c r="Q50" s="13" t="s">
        <v>516</v>
      </c>
      <c r="R50" s="18">
        <f t="shared" si="4"/>
        <v>1.57</v>
      </c>
      <c r="S50" s="13" t="s">
        <v>41</v>
      </c>
      <c r="T50" s="19">
        <f t="shared" si="13"/>
        <v>14</v>
      </c>
      <c r="U50" s="13" t="s">
        <v>197</v>
      </c>
      <c r="V50" s="13" t="s">
        <v>43</v>
      </c>
      <c r="W50" s="12" t="s">
        <v>517</v>
      </c>
      <c r="X50" s="20" t="s">
        <v>518</v>
      </c>
      <c r="Y50" s="21" t="s">
        <v>519</v>
      </c>
      <c r="Z50" s="12" t="s">
        <v>520</v>
      </c>
      <c r="AA50" s="22" t="s">
        <v>521</v>
      </c>
      <c r="AB50" s="23" t="s">
        <v>522</v>
      </c>
    </row>
    <row r="51">
      <c r="A51" s="12" t="s">
        <v>523</v>
      </c>
      <c r="B51" s="13" t="s">
        <v>524</v>
      </c>
      <c r="C51" s="13" t="s">
        <v>322</v>
      </c>
      <c r="D51" s="14" t="s">
        <v>525</v>
      </c>
      <c r="E51" s="15">
        <f t="shared" si="1"/>
        <v>13559000</v>
      </c>
      <c r="F51" s="13" t="s">
        <v>32</v>
      </c>
      <c r="G51" s="13" t="s">
        <v>123</v>
      </c>
      <c r="H51" s="13" t="s">
        <v>34</v>
      </c>
      <c r="I51" s="13" t="s">
        <v>483</v>
      </c>
      <c r="J51" s="13" t="s">
        <v>34</v>
      </c>
      <c r="K51" s="13" t="s">
        <v>36</v>
      </c>
      <c r="L51" s="16">
        <f t="shared" si="2"/>
        <v>16</v>
      </c>
      <c r="M51" s="13" t="s">
        <v>54</v>
      </c>
      <c r="N51" s="13" t="s">
        <v>38</v>
      </c>
      <c r="O51" s="17">
        <f t="shared" si="3"/>
        <v>512</v>
      </c>
      <c r="P51" s="13" t="s">
        <v>39</v>
      </c>
      <c r="Q51" s="13" t="s">
        <v>526</v>
      </c>
      <c r="R51" s="18">
        <f t="shared" si="4"/>
        <v>1.7</v>
      </c>
      <c r="S51" s="13" t="s">
        <v>113</v>
      </c>
      <c r="T51" s="19">
        <f>VALUE(SUBSTITUTE(SUBSTITUTE(S51, " Inch", ""), ",", "."))</f>
        <v>15.6</v>
      </c>
      <c r="U51" s="13" t="s">
        <v>42</v>
      </c>
      <c r="V51" s="13" t="s">
        <v>81</v>
      </c>
      <c r="W51" s="12" t="s">
        <v>527</v>
      </c>
      <c r="X51" s="20" t="s">
        <v>528</v>
      </c>
      <c r="Y51" s="21" t="s">
        <v>529</v>
      </c>
      <c r="Z51" s="12" t="s">
        <v>530</v>
      </c>
      <c r="AA51" s="22" t="s">
        <v>531</v>
      </c>
      <c r="AB51" s="23" t="s">
        <v>532</v>
      </c>
    </row>
    <row r="52">
      <c r="A52" s="12" t="s">
        <v>533</v>
      </c>
      <c r="B52" s="13" t="s">
        <v>534</v>
      </c>
      <c r="C52" s="13" t="s">
        <v>322</v>
      </c>
      <c r="D52" s="14" t="s">
        <v>535</v>
      </c>
      <c r="E52" s="15">
        <f t="shared" si="1"/>
        <v>13100000</v>
      </c>
      <c r="F52" s="13" t="s">
        <v>32</v>
      </c>
      <c r="G52" s="13" t="s">
        <v>89</v>
      </c>
      <c r="H52" s="13" t="s">
        <v>90</v>
      </c>
      <c r="I52" s="13" t="s">
        <v>536</v>
      </c>
      <c r="J52" s="13" t="s">
        <v>90</v>
      </c>
      <c r="K52" s="13" t="s">
        <v>36</v>
      </c>
      <c r="L52" s="16">
        <f t="shared" si="2"/>
        <v>16</v>
      </c>
      <c r="M52" s="13" t="s">
        <v>54</v>
      </c>
      <c r="N52" s="13" t="s">
        <v>38</v>
      </c>
      <c r="O52" s="17">
        <f t="shared" si="3"/>
        <v>512</v>
      </c>
      <c r="P52" s="13" t="s">
        <v>39</v>
      </c>
      <c r="Q52" s="13" t="s">
        <v>537</v>
      </c>
      <c r="R52" s="18">
        <f t="shared" si="4"/>
        <v>1.88</v>
      </c>
      <c r="S52" s="13" t="s">
        <v>138</v>
      </c>
      <c r="T52" s="19">
        <f t="shared" ref="T52:T65" si="14">VALUE(SUBSTITUTE(S52, " Inch", ""))</f>
        <v>16</v>
      </c>
      <c r="U52" s="13" t="s">
        <v>197</v>
      </c>
      <c r="V52" s="13" t="s">
        <v>43</v>
      </c>
      <c r="W52" s="12" t="s">
        <v>538</v>
      </c>
      <c r="X52" s="20" t="s">
        <v>539</v>
      </c>
      <c r="Y52" s="21" t="s">
        <v>540</v>
      </c>
      <c r="Z52" s="12" t="s">
        <v>541</v>
      </c>
      <c r="AA52" s="22" t="s">
        <v>542</v>
      </c>
      <c r="AB52" s="23" t="s">
        <v>543</v>
      </c>
    </row>
    <row r="53">
      <c r="A53" s="12" t="s">
        <v>544</v>
      </c>
      <c r="B53" s="13" t="s">
        <v>545</v>
      </c>
      <c r="C53" s="13" t="s">
        <v>322</v>
      </c>
      <c r="D53" s="14" t="s">
        <v>546</v>
      </c>
      <c r="E53" s="15">
        <f t="shared" si="1"/>
        <v>6399000</v>
      </c>
      <c r="F53" s="13" t="s">
        <v>32</v>
      </c>
      <c r="G53" s="13" t="s">
        <v>33</v>
      </c>
      <c r="H53" s="13" t="s">
        <v>34</v>
      </c>
      <c r="I53" s="13" t="s">
        <v>547</v>
      </c>
      <c r="J53" s="13" t="s">
        <v>34</v>
      </c>
      <c r="K53" s="13" t="s">
        <v>67</v>
      </c>
      <c r="L53" s="16">
        <f t="shared" si="2"/>
        <v>8</v>
      </c>
      <c r="M53" s="13" t="s">
        <v>79</v>
      </c>
      <c r="N53" s="13" t="s">
        <v>234</v>
      </c>
      <c r="O53" s="17">
        <f t="shared" si="3"/>
        <v>256</v>
      </c>
      <c r="P53" s="13" t="s">
        <v>39</v>
      </c>
      <c r="Q53" s="13" t="s">
        <v>101</v>
      </c>
      <c r="R53" s="18">
        <f t="shared" si="4"/>
        <v>1.4</v>
      </c>
      <c r="S53" s="13" t="s">
        <v>41</v>
      </c>
      <c r="T53" s="19">
        <f t="shared" si="14"/>
        <v>14</v>
      </c>
      <c r="U53" s="13" t="s">
        <v>343</v>
      </c>
      <c r="V53" s="13" t="s">
        <v>81</v>
      </c>
      <c r="W53" s="12" t="s">
        <v>548</v>
      </c>
      <c r="X53" s="20" t="s">
        <v>549</v>
      </c>
      <c r="Y53" s="21" t="s">
        <v>550</v>
      </c>
      <c r="Z53" s="12" t="s">
        <v>456</v>
      </c>
      <c r="AA53" s="22" t="s">
        <v>551</v>
      </c>
      <c r="AB53" s="23" t="s">
        <v>552</v>
      </c>
    </row>
    <row r="54">
      <c r="A54" s="12" t="s">
        <v>553</v>
      </c>
      <c r="B54" s="13" t="s">
        <v>545</v>
      </c>
      <c r="C54" s="13" t="s">
        <v>322</v>
      </c>
      <c r="D54" s="14" t="s">
        <v>546</v>
      </c>
      <c r="E54" s="15">
        <f t="shared" si="1"/>
        <v>6399000</v>
      </c>
      <c r="F54" s="13" t="s">
        <v>32</v>
      </c>
      <c r="G54" s="13" t="s">
        <v>33</v>
      </c>
      <c r="H54" s="13" t="s">
        <v>34</v>
      </c>
      <c r="I54" s="13" t="s">
        <v>547</v>
      </c>
      <c r="J54" s="13" t="s">
        <v>34</v>
      </c>
      <c r="K54" s="13" t="s">
        <v>67</v>
      </c>
      <c r="L54" s="16">
        <f t="shared" si="2"/>
        <v>8</v>
      </c>
      <c r="M54" s="13" t="s">
        <v>79</v>
      </c>
      <c r="N54" s="13" t="s">
        <v>234</v>
      </c>
      <c r="O54" s="17">
        <f t="shared" si="3"/>
        <v>256</v>
      </c>
      <c r="P54" s="13" t="s">
        <v>39</v>
      </c>
      <c r="Q54" s="13" t="s">
        <v>554</v>
      </c>
      <c r="R54" s="18">
        <f t="shared" si="4"/>
        <v>1.3</v>
      </c>
      <c r="S54" s="13" t="s">
        <v>41</v>
      </c>
      <c r="T54" s="19">
        <f t="shared" si="14"/>
        <v>14</v>
      </c>
      <c r="U54" s="13" t="s">
        <v>258</v>
      </c>
      <c r="V54" s="13" t="s">
        <v>81</v>
      </c>
      <c r="W54" s="12" t="s">
        <v>555</v>
      </c>
      <c r="X54" s="20" t="s">
        <v>556</v>
      </c>
      <c r="Y54" s="27" t="s">
        <v>317</v>
      </c>
      <c r="Z54" s="12" t="s">
        <v>456</v>
      </c>
      <c r="AA54" s="22" t="s">
        <v>557</v>
      </c>
      <c r="AB54" s="23" t="s">
        <v>558</v>
      </c>
    </row>
    <row r="55">
      <c r="A55" s="12" t="s">
        <v>559</v>
      </c>
      <c r="B55" s="13" t="s">
        <v>560</v>
      </c>
      <c r="C55" s="13" t="s">
        <v>322</v>
      </c>
      <c r="D55" s="14" t="s">
        <v>561</v>
      </c>
      <c r="E55" s="15">
        <f t="shared" si="1"/>
        <v>17999000</v>
      </c>
      <c r="F55" s="13" t="s">
        <v>32</v>
      </c>
      <c r="G55" s="13" t="s">
        <v>52</v>
      </c>
      <c r="H55" s="13" t="s">
        <v>34</v>
      </c>
      <c r="I55" s="13" t="s">
        <v>562</v>
      </c>
      <c r="J55" s="13" t="s">
        <v>34</v>
      </c>
      <c r="K55" s="13" t="s">
        <v>36</v>
      </c>
      <c r="L55" s="16">
        <f t="shared" si="2"/>
        <v>16</v>
      </c>
      <c r="M55" s="13" t="s">
        <v>209</v>
      </c>
      <c r="N55" s="13" t="s">
        <v>125</v>
      </c>
      <c r="O55" s="17">
        <f t="shared" si="3"/>
        <v>1024</v>
      </c>
      <c r="P55" s="13" t="s">
        <v>39</v>
      </c>
      <c r="Q55" s="13" t="s">
        <v>563</v>
      </c>
      <c r="R55" s="18">
        <f t="shared" si="4"/>
        <v>1.28</v>
      </c>
      <c r="S55" s="13" t="s">
        <v>41</v>
      </c>
      <c r="T55" s="19">
        <f t="shared" si="14"/>
        <v>14</v>
      </c>
      <c r="U55" s="13" t="s">
        <v>197</v>
      </c>
      <c r="V55" s="13" t="s">
        <v>43</v>
      </c>
      <c r="W55" s="12" t="s">
        <v>564</v>
      </c>
      <c r="X55" s="20" t="s">
        <v>565</v>
      </c>
      <c r="Y55" s="21" t="s">
        <v>566</v>
      </c>
      <c r="Z55" s="12" t="s">
        <v>567</v>
      </c>
      <c r="AA55" s="22" t="s">
        <v>568</v>
      </c>
      <c r="AB55" s="23" t="s">
        <v>569</v>
      </c>
    </row>
    <row r="56">
      <c r="A56" s="12" t="s">
        <v>570</v>
      </c>
      <c r="B56" s="13" t="s">
        <v>560</v>
      </c>
      <c r="C56" s="13" t="s">
        <v>322</v>
      </c>
      <c r="D56" s="14" t="s">
        <v>561</v>
      </c>
      <c r="E56" s="15">
        <f t="shared" si="1"/>
        <v>17999000</v>
      </c>
      <c r="F56" s="13" t="s">
        <v>32</v>
      </c>
      <c r="G56" s="13" t="s">
        <v>52</v>
      </c>
      <c r="H56" s="13" t="s">
        <v>34</v>
      </c>
      <c r="I56" s="13" t="s">
        <v>562</v>
      </c>
      <c r="J56" s="13" t="s">
        <v>34</v>
      </c>
      <c r="K56" s="13" t="s">
        <v>36</v>
      </c>
      <c r="L56" s="16">
        <f t="shared" si="2"/>
        <v>16</v>
      </c>
      <c r="M56" s="13" t="s">
        <v>209</v>
      </c>
      <c r="N56" s="13" t="s">
        <v>125</v>
      </c>
      <c r="O56" s="17">
        <f t="shared" si="3"/>
        <v>1024</v>
      </c>
      <c r="P56" s="13" t="s">
        <v>39</v>
      </c>
      <c r="Q56" s="13" t="s">
        <v>563</v>
      </c>
      <c r="R56" s="18">
        <f t="shared" si="4"/>
        <v>1.28</v>
      </c>
      <c r="S56" s="13" t="s">
        <v>41</v>
      </c>
      <c r="T56" s="19">
        <f t="shared" si="14"/>
        <v>14</v>
      </c>
      <c r="U56" s="13" t="s">
        <v>197</v>
      </c>
      <c r="V56" s="13" t="s">
        <v>43</v>
      </c>
      <c r="W56" s="12" t="s">
        <v>571</v>
      </c>
      <c r="X56" s="20" t="s">
        <v>572</v>
      </c>
      <c r="Y56" s="21" t="s">
        <v>573</v>
      </c>
      <c r="Z56" s="12" t="s">
        <v>567</v>
      </c>
      <c r="AA56" s="22" t="s">
        <v>568</v>
      </c>
      <c r="AB56" s="23" t="s">
        <v>569</v>
      </c>
    </row>
    <row r="57">
      <c r="A57" s="12" t="s">
        <v>574</v>
      </c>
      <c r="B57" s="13" t="s">
        <v>560</v>
      </c>
      <c r="C57" s="13" t="s">
        <v>322</v>
      </c>
      <c r="D57" s="14" t="s">
        <v>575</v>
      </c>
      <c r="E57" s="15">
        <f t="shared" si="1"/>
        <v>22699000</v>
      </c>
      <c r="F57" s="13" t="s">
        <v>32</v>
      </c>
      <c r="G57" s="13" t="s">
        <v>52</v>
      </c>
      <c r="H57" s="13" t="s">
        <v>34</v>
      </c>
      <c r="I57" s="13" t="s">
        <v>576</v>
      </c>
      <c r="J57" s="13" t="s">
        <v>34</v>
      </c>
      <c r="K57" s="13" t="s">
        <v>208</v>
      </c>
      <c r="L57" s="16">
        <f t="shared" si="2"/>
        <v>32</v>
      </c>
      <c r="M57" s="13" t="s">
        <v>209</v>
      </c>
      <c r="N57" s="13" t="s">
        <v>125</v>
      </c>
      <c r="O57" s="17">
        <f t="shared" si="3"/>
        <v>1024</v>
      </c>
      <c r="P57" s="13" t="s">
        <v>39</v>
      </c>
      <c r="Q57" s="13" t="s">
        <v>563</v>
      </c>
      <c r="R57" s="18">
        <f t="shared" si="4"/>
        <v>1.28</v>
      </c>
      <c r="S57" s="13" t="s">
        <v>41</v>
      </c>
      <c r="T57" s="19">
        <f t="shared" si="14"/>
        <v>14</v>
      </c>
      <c r="U57" s="13" t="s">
        <v>197</v>
      </c>
      <c r="V57" s="13" t="s">
        <v>43</v>
      </c>
      <c r="W57" s="12" t="s">
        <v>577</v>
      </c>
      <c r="X57" s="20" t="s">
        <v>578</v>
      </c>
      <c r="Y57" s="21" t="s">
        <v>579</v>
      </c>
      <c r="Z57" s="12" t="s">
        <v>580</v>
      </c>
      <c r="AA57" s="22" t="s">
        <v>581</v>
      </c>
      <c r="AB57" s="23" t="s">
        <v>582</v>
      </c>
    </row>
    <row r="58">
      <c r="A58" s="12" t="s">
        <v>583</v>
      </c>
      <c r="B58" s="13" t="s">
        <v>560</v>
      </c>
      <c r="C58" s="13" t="s">
        <v>322</v>
      </c>
      <c r="D58" s="14" t="s">
        <v>584</v>
      </c>
      <c r="E58" s="15">
        <f t="shared" si="1"/>
        <v>19579000</v>
      </c>
      <c r="F58" s="13" t="s">
        <v>32</v>
      </c>
      <c r="G58" s="13" t="s">
        <v>89</v>
      </c>
      <c r="H58" s="13" t="s">
        <v>90</v>
      </c>
      <c r="I58" s="13" t="s">
        <v>585</v>
      </c>
      <c r="J58" s="13" t="s">
        <v>90</v>
      </c>
      <c r="K58" s="13" t="s">
        <v>36</v>
      </c>
      <c r="L58" s="16">
        <f t="shared" si="2"/>
        <v>16</v>
      </c>
      <c r="M58" s="13" t="s">
        <v>209</v>
      </c>
      <c r="N58" s="13" t="s">
        <v>125</v>
      </c>
      <c r="O58" s="17">
        <f t="shared" si="3"/>
        <v>1024</v>
      </c>
      <c r="P58" s="13" t="s">
        <v>39</v>
      </c>
      <c r="Q58" s="13" t="s">
        <v>586</v>
      </c>
      <c r="R58" s="18">
        <f t="shared" si="4"/>
        <v>1.2</v>
      </c>
      <c r="S58" s="13" t="s">
        <v>41</v>
      </c>
      <c r="T58" s="19">
        <f t="shared" si="14"/>
        <v>14</v>
      </c>
      <c r="U58" s="13" t="s">
        <v>197</v>
      </c>
      <c r="V58" s="13" t="s">
        <v>43</v>
      </c>
      <c r="W58" s="12" t="s">
        <v>587</v>
      </c>
      <c r="X58" s="20" t="s">
        <v>588</v>
      </c>
      <c r="Y58" s="21" t="s">
        <v>589</v>
      </c>
      <c r="Z58" s="12" t="s">
        <v>487</v>
      </c>
      <c r="AA58" s="22" t="s">
        <v>590</v>
      </c>
      <c r="AB58" s="23" t="s">
        <v>591</v>
      </c>
    </row>
    <row r="59">
      <c r="A59" s="12" t="s">
        <v>592</v>
      </c>
      <c r="B59" s="13" t="s">
        <v>560</v>
      </c>
      <c r="C59" s="13" t="s">
        <v>322</v>
      </c>
      <c r="D59" s="14" t="s">
        <v>593</v>
      </c>
      <c r="E59" s="15">
        <f t="shared" si="1"/>
        <v>20999000</v>
      </c>
      <c r="F59" s="13" t="s">
        <v>32</v>
      </c>
      <c r="G59" s="13" t="s">
        <v>89</v>
      </c>
      <c r="H59" s="13" t="s">
        <v>90</v>
      </c>
      <c r="I59" s="13" t="s">
        <v>417</v>
      </c>
      <c r="J59" s="13" t="s">
        <v>90</v>
      </c>
      <c r="K59" s="13" t="s">
        <v>208</v>
      </c>
      <c r="L59" s="16">
        <f t="shared" si="2"/>
        <v>32</v>
      </c>
      <c r="M59" s="13" t="s">
        <v>209</v>
      </c>
      <c r="N59" s="13" t="s">
        <v>125</v>
      </c>
      <c r="O59" s="17">
        <f t="shared" si="3"/>
        <v>1024</v>
      </c>
      <c r="P59" s="13" t="s">
        <v>39</v>
      </c>
      <c r="Q59" s="13" t="s">
        <v>586</v>
      </c>
      <c r="R59" s="18">
        <f t="shared" si="4"/>
        <v>1.2</v>
      </c>
      <c r="S59" s="13" t="s">
        <v>41</v>
      </c>
      <c r="T59" s="19">
        <f t="shared" si="14"/>
        <v>14</v>
      </c>
      <c r="U59" s="13" t="s">
        <v>197</v>
      </c>
      <c r="V59" s="13" t="s">
        <v>43</v>
      </c>
      <c r="W59" s="12" t="s">
        <v>594</v>
      </c>
      <c r="X59" s="20" t="s">
        <v>595</v>
      </c>
      <c r="Y59" s="21" t="s">
        <v>596</v>
      </c>
      <c r="Z59" s="12" t="s">
        <v>597</v>
      </c>
      <c r="AA59" s="22" t="s">
        <v>598</v>
      </c>
      <c r="AB59" s="23" t="s">
        <v>599</v>
      </c>
    </row>
    <row r="60">
      <c r="A60" s="12" t="s">
        <v>600</v>
      </c>
      <c r="B60" s="13" t="s">
        <v>601</v>
      </c>
      <c r="C60" s="13" t="s">
        <v>322</v>
      </c>
      <c r="D60" s="14" t="s">
        <v>602</v>
      </c>
      <c r="E60" s="15">
        <f t="shared" si="1"/>
        <v>40099000</v>
      </c>
      <c r="F60" s="13" t="s">
        <v>32</v>
      </c>
      <c r="G60" s="13" t="s">
        <v>52</v>
      </c>
      <c r="H60" s="13" t="s">
        <v>34</v>
      </c>
      <c r="I60" s="13" t="s">
        <v>603</v>
      </c>
      <c r="J60" s="13" t="s">
        <v>34</v>
      </c>
      <c r="K60" s="13" t="s">
        <v>208</v>
      </c>
      <c r="L60" s="16">
        <f t="shared" si="2"/>
        <v>32</v>
      </c>
      <c r="M60" s="13" t="s">
        <v>209</v>
      </c>
      <c r="N60" s="13" t="s">
        <v>125</v>
      </c>
      <c r="O60" s="17">
        <f t="shared" si="3"/>
        <v>1024</v>
      </c>
      <c r="P60" s="13" t="s">
        <v>39</v>
      </c>
      <c r="Q60" s="13" t="s">
        <v>604</v>
      </c>
      <c r="R60" s="18">
        <f t="shared" si="4"/>
        <v>1.65</v>
      </c>
      <c r="S60" s="13" t="s">
        <v>41</v>
      </c>
      <c r="T60" s="19">
        <f t="shared" si="14"/>
        <v>14</v>
      </c>
      <c r="U60" s="13" t="s">
        <v>197</v>
      </c>
      <c r="V60" s="13" t="s">
        <v>211</v>
      </c>
      <c r="W60" s="12" t="s">
        <v>605</v>
      </c>
      <c r="X60" s="25" t="s">
        <v>606</v>
      </c>
      <c r="Y60" s="24" t="s">
        <v>607</v>
      </c>
      <c r="Z60" s="12" t="s">
        <v>411</v>
      </c>
      <c r="AA60" s="22" t="s">
        <v>608</v>
      </c>
      <c r="AB60" s="23" t="s">
        <v>609</v>
      </c>
    </row>
    <row r="61">
      <c r="A61" s="12" t="s">
        <v>610</v>
      </c>
      <c r="B61" s="13" t="s">
        <v>611</v>
      </c>
      <c r="C61" s="13" t="s">
        <v>322</v>
      </c>
      <c r="D61" s="14" t="s">
        <v>612</v>
      </c>
      <c r="E61" s="15">
        <f t="shared" si="1"/>
        <v>28499000</v>
      </c>
      <c r="F61" s="13" t="s">
        <v>32</v>
      </c>
      <c r="G61" s="13" t="s">
        <v>52</v>
      </c>
      <c r="H61" s="13" t="s">
        <v>34</v>
      </c>
      <c r="I61" s="13" t="s">
        <v>613</v>
      </c>
      <c r="J61" s="13" t="s">
        <v>34</v>
      </c>
      <c r="K61" s="13" t="s">
        <v>208</v>
      </c>
      <c r="L61" s="16">
        <f t="shared" si="2"/>
        <v>32</v>
      </c>
      <c r="M61" s="13" t="s">
        <v>209</v>
      </c>
      <c r="N61" s="13" t="s">
        <v>125</v>
      </c>
      <c r="O61" s="17">
        <f t="shared" si="3"/>
        <v>1024</v>
      </c>
      <c r="P61" s="13" t="s">
        <v>39</v>
      </c>
      <c r="Q61" s="13" t="s">
        <v>586</v>
      </c>
      <c r="R61" s="18">
        <f t="shared" si="4"/>
        <v>1.2</v>
      </c>
      <c r="S61" s="13" t="s">
        <v>41</v>
      </c>
      <c r="T61" s="19">
        <f t="shared" si="14"/>
        <v>14</v>
      </c>
      <c r="U61" s="13" t="s">
        <v>197</v>
      </c>
      <c r="V61" s="13" t="s">
        <v>211</v>
      </c>
      <c r="W61" s="12" t="s">
        <v>614</v>
      </c>
      <c r="X61" s="25" t="s">
        <v>615</v>
      </c>
      <c r="Y61" s="21" t="s">
        <v>616</v>
      </c>
      <c r="Z61" s="12" t="s">
        <v>617</v>
      </c>
      <c r="AA61" s="22" t="s">
        <v>618</v>
      </c>
      <c r="AB61" s="23" t="s">
        <v>619</v>
      </c>
    </row>
    <row r="62">
      <c r="A62" s="12" t="s">
        <v>620</v>
      </c>
      <c r="B62" s="13" t="s">
        <v>621</v>
      </c>
      <c r="C62" s="13" t="s">
        <v>622</v>
      </c>
      <c r="D62" s="14" t="s">
        <v>623</v>
      </c>
      <c r="E62" s="15">
        <f t="shared" si="1"/>
        <v>9749000</v>
      </c>
      <c r="F62" s="13" t="s">
        <v>32</v>
      </c>
      <c r="G62" s="13" t="s">
        <v>624</v>
      </c>
      <c r="H62" s="13" t="s">
        <v>90</v>
      </c>
      <c r="I62" s="13" t="s">
        <v>625</v>
      </c>
      <c r="J62" s="13" t="s">
        <v>90</v>
      </c>
      <c r="K62" s="13" t="s">
        <v>36</v>
      </c>
      <c r="L62" s="16">
        <f t="shared" si="2"/>
        <v>16</v>
      </c>
      <c r="M62" s="13" t="s">
        <v>54</v>
      </c>
      <c r="N62" s="13" t="s">
        <v>38</v>
      </c>
      <c r="O62" s="17">
        <f t="shared" si="3"/>
        <v>512</v>
      </c>
      <c r="P62" s="13" t="s">
        <v>39</v>
      </c>
      <c r="Q62" s="13" t="s">
        <v>626</v>
      </c>
      <c r="R62" s="18">
        <f t="shared" si="4"/>
        <v>1.34</v>
      </c>
      <c r="S62" s="13" t="s">
        <v>41</v>
      </c>
      <c r="T62" s="19">
        <f t="shared" si="14"/>
        <v>14</v>
      </c>
      <c r="U62" s="13" t="s">
        <v>42</v>
      </c>
      <c r="V62" s="13" t="s">
        <v>43</v>
      </c>
      <c r="W62" s="12" t="s">
        <v>627</v>
      </c>
      <c r="X62" s="20" t="s">
        <v>628</v>
      </c>
      <c r="Y62" s="21" t="s">
        <v>629</v>
      </c>
      <c r="Z62" s="12" t="s">
        <v>630</v>
      </c>
      <c r="AA62" s="22" t="s">
        <v>278</v>
      </c>
      <c r="AB62" s="23" t="s">
        <v>631</v>
      </c>
    </row>
    <row r="63">
      <c r="A63" s="12" t="s">
        <v>632</v>
      </c>
      <c r="B63" s="13" t="s">
        <v>633</v>
      </c>
      <c r="C63" s="13" t="s">
        <v>622</v>
      </c>
      <c r="D63" s="14" t="s">
        <v>634</v>
      </c>
      <c r="E63" s="15">
        <f t="shared" si="1"/>
        <v>8149000</v>
      </c>
      <c r="F63" s="13" t="s">
        <v>32</v>
      </c>
      <c r="G63" s="13" t="s">
        <v>635</v>
      </c>
      <c r="H63" s="13" t="s">
        <v>90</v>
      </c>
      <c r="I63" s="13" t="s">
        <v>636</v>
      </c>
      <c r="J63" s="13" t="s">
        <v>90</v>
      </c>
      <c r="K63" s="13" t="s">
        <v>67</v>
      </c>
      <c r="L63" s="16">
        <f t="shared" si="2"/>
        <v>8</v>
      </c>
      <c r="M63" s="13" t="s">
        <v>79</v>
      </c>
      <c r="N63" s="13" t="s">
        <v>38</v>
      </c>
      <c r="O63" s="17">
        <f t="shared" si="3"/>
        <v>512</v>
      </c>
      <c r="P63" s="13" t="s">
        <v>39</v>
      </c>
      <c r="Q63" s="13" t="s">
        <v>637</v>
      </c>
      <c r="R63" s="18">
        <f t="shared" si="4"/>
        <v>1.41</v>
      </c>
      <c r="S63" s="13" t="s">
        <v>41</v>
      </c>
      <c r="T63" s="19">
        <f t="shared" si="14"/>
        <v>14</v>
      </c>
      <c r="U63" s="13" t="s">
        <v>42</v>
      </c>
      <c r="V63" s="13" t="s">
        <v>81</v>
      </c>
      <c r="W63" s="12" t="s">
        <v>638</v>
      </c>
      <c r="X63" s="20" t="s">
        <v>639</v>
      </c>
      <c r="Y63" s="21" t="s">
        <v>640</v>
      </c>
      <c r="Z63" s="12" t="s">
        <v>641</v>
      </c>
      <c r="AA63" s="22" t="s">
        <v>642</v>
      </c>
      <c r="AB63" s="23" t="s">
        <v>643</v>
      </c>
    </row>
    <row r="64">
      <c r="A64" s="12" t="s">
        <v>644</v>
      </c>
      <c r="B64" s="13" t="s">
        <v>633</v>
      </c>
      <c r="C64" s="13" t="s">
        <v>622</v>
      </c>
      <c r="D64" s="14" t="s">
        <v>645</v>
      </c>
      <c r="E64" s="15">
        <f t="shared" si="1"/>
        <v>10049000</v>
      </c>
      <c r="F64" s="13" t="s">
        <v>32</v>
      </c>
      <c r="G64" s="13" t="s">
        <v>646</v>
      </c>
      <c r="H64" s="13" t="s">
        <v>90</v>
      </c>
      <c r="I64" s="13" t="s">
        <v>647</v>
      </c>
      <c r="J64" s="13" t="s">
        <v>90</v>
      </c>
      <c r="K64" s="13" t="s">
        <v>36</v>
      </c>
      <c r="L64" s="16">
        <f t="shared" si="2"/>
        <v>16</v>
      </c>
      <c r="M64" s="13" t="s">
        <v>54</v>
      </c>
      <c r="N64" s="13" t="s">
        <v>38</v>
      </c>
      <c r="O64" s="17">
        <f t="shared" si="3"/>
        <v>512</v>
      </c>
      <c r="P64" s="13" t="s">
        <v>39</v>
      </c>
      <c r="Q64" s="13" t="s">
        <v>648</v>
      </c>
      <c r="R64" s="18">
        <f t="shared" si="4"/>
        <v>1.46</v>
      </c>
      <c r="S64" s="13" t="s">
        <v>41</v>
      </c>
      <c r="T64" s="19">
        <f t="shared" si="14"/>
        <v>14</v>
      </c>
      <c r="U64" s="13" t="s">
        <v>42</v>
      </c>
      <c r="V64" s="13" t="s">
        <v>43</v>
      </c>
      <c r="W64" s="12" t="s">
        <v>649</v>
      </c>
      <c r="X64" s="20" t="s">
        <v>650</v>
      </c>
      <c r="Y64" s="21" t="s">
        <v>651</v>
      </c>
      <c r="Z64" s="12" t="s">
        <v>652</v>
      </c>
      <c r="AA64" s="22" t="s">
        <v>653</v>
      </c>
      <c r="AB64" s="23" t="s">
        <v>654</v>
      </c>
    </row>
    <row r="65">
      <c r="A65" s="12" t="s">
        <v>655</v>
      </c>
      <c r="B65" s="13" t="s">
        <v>656</v>
      </c>
      <c r="C65" s="13" t="s">
        <v>622</v>
      </c>
      <c r="D65" s="14" t="s">
        <v>657</v>
      </c>
      <c r="E65" s="15">
        <f t="shared" si="1"/>
        <v>10799000</v>
      </c>
      <c r="F65" s="13" t="s">
        <v>32</v>
      </c>
      <c r="G65" s="13" t="s">
        <v>324</v>
      </c>
      <c r="H65" s="13" t="s">
        <v>34</v>
      </c>
      <c r="I65" s="13" t="s">
        <v>658</v>
      </c>
      <c r="J65" s="13" t="s">
        <v>34</v>
      </c>
      <c r="K65" s="13" t="s">
        <v>659</v>
      </c>
      <c r="L65" s="16">
        <f t="shared" si="2"/>
        <v>24</v>
      </c>
      <c r="M65" s="13" t="s">
        <v>68</v>
      </c>
      <c r="N65" s="13" t="s">
        <v>38</v>
      </c>
      <c r="O65" s="17">
        <f t="shared" si="3"/>
        <v>512</v>
      </c>
      <c r="P65" s="13" t="s">
        <v>39</v>
      </c>
      <c r="Q65" s="13" t="s">
        <v>660</v>
      </c>
      <c r="R65" s="18">
        <f t="shared" si="4"/>
        <v>1</v>
      </c>
      <c r="S65" s="13" t="s">
        <v>41</v>
      </c>
      <c r="T65" s="19">
        <f t="shared" si="14"/>
        <v>14</v>
      </c>
      <c r="U65" s="13" t="s">
        <v>42</v>
      </c>
      <c r="V65" s="13" t="s">
        <v>43</v>
      </c>
      <c r="W65" s="12" t="s">
        <v>661</v>
      </c>
      <c r="X65" s="20" t="s">
        <v>662</v>
      </c>
      <c r="Y65" s="21" t="s">
        <v>663</v>
      </c>
      <c r="Z65" s="12" t="s">
        <v>664</v>
      </c>
      <c r="AA65" s="22" t="s">
        <v>665</v>
      </c>
      <c r="AB65" s="23" t="s">
        <v>666</v>
      </c>
    </row>
    <row r="66">
      <c r="A66" s="12" t="s">
        <v>667</v>
      </c>
      <c r="B66" s="13" t="s">
        <v>668</v>
      </c>
      <c r="C66" s="13" t="s">
        <v>622</v>
      </c>
      <c r="D66" s="14" t="s">
        <v>669</v>
      </c>
      <c r="E66" s="15">
        <f t="shared" si="1"/>
        <v>13849000</v>
      </c>
      <c r="F66" s="13" t="s">
        <v>32</v>
      </c>
      <c r="G66" s="13" t="s">
        <v>670</v>
      </c>
      <c r="H66" s="13" t="s">
        <v>135</v>
      </c>
      <c r="I66" s="13" t="s">
        <v>671</v>
      </c>
      <c r="J66" s="13" t="s">
        <v>34</v>
      </c>
      <c r="K66" s="13" t="s">
        <v>36</v>
      </c>
      <c r="L66" s="16">
        <f t="shared" si="2"/>
        <v>16</v>
      </c>
      <c r="M66" s="13" t="s">
        <v>79</v>
      </c>
      <c r="N66" s="13" t="s">
        <v>38</v>
      </c>
      <c r="O66" s="17">
        <f t="shared" si="3"/>
        <v>512</v>
      </c>
      <c r="P66" s="13" t="s">
        <v>39</v>
      </c>
      <c r="Q66" s="13" t="s">
        <v>672</v>
      </c>
      <c r="R66" s="18">
        <f t="shared" si="4"/>
        <v>2.15</v>
      </c>
      <c r="S66" s="13" t="s">
        <v>113</v>
      </c>
      <c r="T66" s="19">
        <f>VALUE(SUBSTITUTE(SUBSTITUTE(S66, " Inch", ""), ",", "."))</f>
        <v>15.6</v>
      </c>
      <c r="U66" s="13" t="s">
        <v>673</v>
      </c>
      <c r="V66" s="13" t="s">
        <v>81</v>
      </c>
      <c r="W66" s="12" t="s">
        <v>674</v>
      </c>
      <c r="X66" s="20" t="s">
        <v>675</v>
      </c>
      <c r="Y66" s="21" t="s">
        <v>676</v>
      </c>
      <c r="Z66" s="12" t="s">
        <v>677</v>
      </c>
      <c r="AA66" s="22" t="s">
        <v>678</v>
      </c>
      <c r="AB66" s="23" t="s">
        <v>679</v>
      </c>
    </row>
    <row r="67">
      <c r="A67" s="12" t="s">
        <v>680</v>
      </c>
      <c r="B67" s="13" t="s">
        <v>681</v>
      </c>
      <c r="C67" s="13" t="s">
        <v>622</v>
      </c>
      <c r="D67" s="14" t="s">
        <v>682</v>
      </c>
      <c r="E67" s="15">
        <f t="shared" si="1"/>
        <v>24699000</v>
      </c>
      <c r="F67" s="13" t="s">
        <v>32</v>
      </c>
      <c r="G67" s="13" t="s">
        <v>683</v>
      </c>
      <c r="H67" s="13" t="s">
        <v>135</v>
      </c>
      <c r="I67" s="13" t="s">
        <v>684</v>
      </c>
      <c r="J67" s="13" t="s">
        <v>34</v>
      </c>
      <c r="K67" s="13" t="s">
        <v>36</v>
      </c>
      <c r="L67" s="16">
        <f t="shared" si="2"/>
        <v>16</v>
      </c>
      <c r="M67" s="13" t="s">
        <v>54</v>
      </c>
      <c r="N67" s="13" t="s">
        <v>38</v>
      </c>
      <c r="O67" s="17">
        <f t="shared" si="3"/>
        <v>512</v>
      </c>
      <c r="P67" s="13" t="s">
        <v>39</v>
      </c>
      <c r="Q67" s="13" t="s">
        <v>685</v>
      </c>
      <c r="R67" s="18">
        <f t="shared" si="4"/>
        <v>2.35</v>
      </c>
      <c r="S67" s="13" t="s">
        <v>138</v>
      </c>
      <c r="T67" s="19">
        <f t="shared" ref="T67:T70" si="15">VALUE(SUBSTITUTE(S67, " Inch", ""))</f>
        <v>16</v>
      </c>
      <c r="U67" s="13" t="s">
        <v>42</v>
      </c>
      <c r="V67" s="13" t="s">
        <v>198</v>
      </c>
      <c r="W67" s="12" t="s">
        <v>686</v>
      </c>
      <c r="X67" s="20" t="s">
        <v>687</v>
      </c>
      <c r="Y67" s="21" t="s">
        <v>688</v>
      </c>
      <c r="Z67" s="12" t="s">
        <v>689</v>
      </c>
      <c r="AA67" s="22" t="s">
        <v>690</v>
      </c>
      <c r="AB67" s="23" t="s">
        <v>691</v>
      </c>
    </row>
    <row r="68">
      <c r="A68" s="12" t="s">
        <v>692</v>
      </c>
      <c r="B68" s="13" t="s">
        <v>693</v>
      </c>
      <c r="C68" s="13" t="s">
        <v>694</v>
      </c>
      <c r="D68" s="14" t="s">
        <v>695</v>
      </c>
      <c r="E68" s="15">
        <f t="shared" si="1"/>
        <v>9999000</v>
      </c>
      <c r="F68" s="13" t="s">
        <v>32</v>
      </c>
      <c r="G68" s="13" t="s">
        <v>89</v>
      </c>
      <c r="H68" s="13" t="s">
        <v>90</v>
      </c>
      <c r="I68" s="13" t="s">
        <v>696</v>
      </c>
      <c r="J68" s="13" t="s">
        <v>90</v>
      </c>
      <c r="K68" s="13" t="s">
        <v>67</v>
      </c>
      <c r="L68" s="16">
        <f t="shared" si="2"/>
        <v>8</v>
      </c>
      <c r="M68" s="13" t="s">
        <v>54</v>
      </c>
      <c r="N68" s="13" t="s">
        <v>38</v>
      </c>
      <c r="O68" s="17">
        <f t="shared" si="3"/>
        <v>512</v>
      </c>
      <c r="P68" s="13" t="s">
        <v>39</v>
      </c>
      <c r="Q68" s="13" t="s">
        <v>697</v>
      </c>
      <c r="R68" s="18">
        <f t="shared" si="4"/>
        <v>1.54</v>
      </c>
      <c r="S68" s="13" t="s">
        <v>41</v>
      </c>
      <c r="T68" s="19">
        <f t="shared" si="15"/>
        <v>14</v>
      </c>
      <c r="U68" s="13" t="s">
        <v>42</v>
      </c>
      <c r="V68" s="13" t="s">
        <v>43</v>
      </c>
      <c r="W68" s="12" t="s">
        <v>698</v>
      </c>
      <c r="X68" s="20" t="s">
        <v>699</v>
      </c>
      <c r="Y68" s="21" t="s">
        <v>700</v>
      </c>
      <c r="Z68" s="12" t="s">
        <v>238</v>
      </c>
      <c r="AA68" s="22" t="s">
        <v>118</v>
      </c>
      <c r="AB68" s="23" t="s">
        <v>701</v>
      </c>
    </row>
    <row r="69">
      <c r="A69" s="12" t="s">
        <v>702</v>
      </c>
      <c r="B69" s="13" t="s">
        <v>703</v>
      </c>
      <c r="C69" s="13" t="s">
        <v>704</v>
      </c>
      <c r="D69" s="14" t="s">
        <v>705</v>
      </c>
      <c r="E69" s="15">
        <f t="shared" si="1"/>
        <v>8299000</v>
      </c>
      <c r="F69" s="13" t="s">
        <v>32</v>
      </c>
      <c r="G69" s="13" t="s">
        <v>33</v>
      </c>
      <c r="H69" s="13" t="s">
        <v>34</v>
      </c>
      <c r="I69" s="13" t="s">
        <v>35</v>
      </c>
      <c r="J69" s="13" t="s">
        <v>34</v>
      </c>
      <c r="K69" s="13" t="s">
        <v>67</v>
      </c>
      <c r="L69" s="16">
        <f t="shared" si="2"/>
        <v>8</v>
      </c>
      <c r="M69" s="13" t="s">
        <v>79</v>
      </c>
      <c r="N69" s="13" t="s">
        <v>38</v>
      </c>
      <c r="O69" s="17">
        <f t="shared" si="3"/>
        <v>512</v>
      </c>
      <c r="P69" s="13" t="s">
        <v>39</v>
      </c>
      <c r="Q69" s="13" t="s">
        <v>637</v>
      </c>
      <c r="R69" s="18">
        <f t="shared" si="4"/>
        <v>1.41</v>
      </c>
      <c r="S69" s="13" t="s">
        <v>41</v>
      </c>
      <c r="T69" s="19">
        <f t="shared" si="15"/>
        <v>14</v>
      </c>
      <c r="U69" s="13" t="s">
        <v>42</v>
      </c>
      <c r="V69" s="13" t="s">
        <v>81</v>
      </c>
      <c r="W69" s="12" t="s">
        <v>706</v>
      </c>
      <c r="X69" s="20" t="s">
        <v>707</v>
      </c>
      <c r="Y69" s="21" t="s">
        <v>708</v>
      </c>
      <c r="Z69" s="12" t="s">
        <v>456</v>
      </c>
      <c r="AA69" s="22" t="s">
        <v>73</v>
      </c>
      <c r="AB69" s="23" t="s">
        <v>709</v>
      </c>
    </row>
    <row r="70">
      <c r="A70" s="12" t="s">
        <v>710</v>
      </c>
      <c r="B70" s="13" t="s">
        <v>711</v>
      </c>
      <c r="C70" s="13" t="s">
        <v>704</v>
      </c>
      <c r="D70" s="14" t="s">
        <v>712</v>
      </c>
      <c r="E70" s="15">
        <f t="shared" si="1"/>
        <v>18999000</v>
      </c>
      <c r="F70" s="13" t="s">
        <v>32</v>
      </c>
      <c r="G70" s="13" t="s">
        <v>89</v>
      </c>
      <c r="H70" s="13" t="s">
        <v>90</v>
      </c>
      <c r="I70" s="13" t="s">
        <v>713</v>
      </c>
      <c r="J70" s="13" t="s">
        <v>90</v>
      </c>
      <c r="K70" s="13" t="s">
        <v>208</v>
      </c>
      <c r="L70" s="16">
        <f t="shared" si="2"/>
        <v>32</v>
      </c>
      <c r="M70" s="13" t="s">
        <v>68</v>
      </c>
      <c r="N70" s="13" t="s">
        <v>125</v>
      </c>
      <c r="O70" s="17">
        <f t="shared" si="3"/>
        <v>1024</v>
      </c>
      <c r="P70" s="13" t="s">
        <v>39</v>
      </c>
      <c r="Q70" s="13" t="s">
        <v>326</v>
      </c>
      <c r="R70" s="18">
        <f t="shared" si="4"/>
        <v>1.39</v>
      </c>
      <c r="S70" s="13" t="s">
        <v>41</v>
      </c>
      <c r="T70" s="19">
        <f t="shared" si="15"/>
        <v>14</v>
      </c>
      <c r="U70" s="13" t="s">
        <v>197</v>
      </c>
      <c r="V70" s="13" t="s">
        <v>211</v>
      </c>
      <c r="W70" s="12" t="s">
        <v>714</v>
      </c>
      <c r="X70" s="20" t="s">
        <v>715</v>
      </c>
      <c r="Y70" s="21" t="s">
        <v>716</v>
      </c>
      <c r="Z70" s="12" t="s">
        <v>487</v>
      </c>
      <c r="AA70" s="22" t="s">
        <v>717</v>
      </c>
      <c r="AB70" s="23" t="s">
        <v>718</v>
      </c>
    </row>
    <row r="71">
      <c r="A71" s="12" t="s">
        <v>719</v>
      </c>
      <c r="B71" s="13" t="s">
        <v>720</v>
      </c>
      <c r="C71" s="13" t="s">
        <v>704</v>
      </c>
      <c r="D71" s="14" t="s">
        <v>721</v>
      </c>
      <c r="E71" s="15">
        <f t="shared" si="1"/>
        <v>24999000</v>
      </c>
      <c r="F71" s="13" t="s">
        <v>32</v>
      </c>
      <c r="G71" s="13" t="s">
        <v>194</v>
      </c>
      <c r="H71" s="13" t="s">
        <v>135</v>
      </c>
      <c r="I71" s="13" t="s">
        <v>722</v>
      </c>
      <c r="J71" s="13" t="s">
        <v>34</v>
      </c>
      <c r="K71" s="13" t="s">
        <v>659</v>
      </c>
      <c r="L71" s="16">
        <f t="shared" si="2"/>
        <v>24</v>
      </c>
      <c r="M71" s="13" t="s">
        <v>54</v>
      </c>
      <c r="N71" s="13" t="s">
        <v>125</v>
      </c>
      <c r="O71" s="17">
        <f t="shared" si="3"/>
        <v>1024</v>
      </c>
      <c r="P71" s="13" t="s">
        <v>39</v>
      </c>
      <c r="Q71" s="13" t="s">
        <v>723</v>
      </c>
      <c r="R71" s="18">
        <f t="shared" si="4"/>
        <v>2.21</v>
      </c>
      <c r="S71" s="13" t="s">
        <v>724</v>
      </c>
      <c r="T71" s="19">
        <f t="shared" ref="T71:T72" si="16">VALUE(SUBSTITUTE(SUBSTITUTE(S71, " Inch", ""), ",", "."))</f>
        <v>15.3</v>
      </c>
      <c r="U71" s="13" t="s">
        <v>42</v>
      </c>
      <c r="V71" s="13" t="s">
        <v>198</v>
      </c>
      <c r="W71" s="12" t="s">
        <v>725</v>
      </c>
      <c r="X71" s="20" t="s">
        <v>726</v>
      </c>
      <c r="Y71" s="21" t="s">
        <v>727</v>
      </c>
      <c r="Z71" s="12" t="s">
        <v>411</v>
      </c>
      <c r="AA71" s="22" t="s">
        <v>728</v>
      </c>
      <c r="AB71" s="23" t="s">
        <v>729</v>
      </c>
    </row>
    <row r="72">
      <c r="A72" s="12" t="s">
        <v>730</v>
      </c>
      <c r="B72" s="13" t="s">
        <v>720</v>
      </c>
      <c r="C72" s="13" t="s">
        <v>704</v>
      </c>
      <c r="D72" s="14" t="s">
        <v>731</v>
      </c>
      <c r="E72" s="15">
        <f t="shared" si="1"/>
        <v>20599000</v>
      </c>
      <c r="F72" s="13" t="s">
        <v>32</v>
      </c>
      <c r="G72" s="13" t="s">
        <v>168</v>
      </c>
      <c r="H72" s="13" t="s">
        <v>135</v>
      </c>
      <c r="I72" s="13" t="s">
        <v>732</v>
      </c>
      <c r="J72" s="13" t="s">
        <v>90</v>
      </c>
      <c r="K72" s="13" t="s">
        <v>36</v>
      </c>
      <c r="L72" s="16">
        <f t="shared" si="2"/>
        <v>16</v>
      </c>
      <c r="M72" s="13" t="s">
        <v>54</v>
      </c>
      <c r="N72" s="13" t="s">
        <v>125</v>
      </c>
      <c r="O72" s="17">
        <f t="shared" si="3"/>
        <v>1024</v>
      </c>
      <c r="P72" s="13" t="s">
        <v>39</v>
      </c>
      <c r="Q72" s="13" t="s">
        <v>733</v>
      </c>
      <c r="R72" s="18">
        <f t="shared" si="4"/>
        <v>2.42</v>
      </c>
      <c r="S72" s="13" t="s">
        <v>724</v>
      </c>
      <c r="T72" s="19">
        <f t="shared" si="16"/>
        <v>15.3</v>
      </c>
      <c r="U72" s="13" t="s">
        <v>42</v>
      </c>
      <c r="V72" s="13" t="s">
        <v>198</v>
      </c>
      <c r="W72" s="12" t="s">
        <v>734</v>
      </c>
      <c r="X72" s="20" t="s">
        <v>735</v>
      </c>
      <c r="Y72" s="21" t="s">
        <v>736</v>
      </c>
      <c r="Z72" s="12" t="s">
        <v>411</v>
      </c>
      <c r="AA72" s="22" t="s">
        <v>737</v>
      </c>
      <c r="AB72" s="23" t="s">
        <v>738</v>
      </c>
    </row>
    <row r="73">
      <c r="A73" s="12" t="s">
        <v>739</v>
      </c>
      <c r="B73" s="13" t="s">
        <v>740</v>
      </c>
      <c r="C73" s="13" t="s">
        <v>704</v>
      </c>
      <c r="D73" s="14" t="s">
        <v>741</v>
      </c>
      <c r="E73" s="15">
        <f t="shared" si="1"/>
        <v>13549000</v>
      </c>
      <c r="F73" s="13" t="s">
        <v>32</v>
      </c>
      <c r="G73" s="13" t="s">
        <v>123</v>
      </c>
      <c r="H73" s="13" t="s">
        <v>34</v>
      </c>
      <c r="I73" s="13" t="s">
        <v>483</v>
      </c>
      <c r="J73" s="13" t="s">
        <v>34</v>
      </c>
      <c r="K73" s="13" t="s">
        <v>36</v>
      </c>
      <c r="L73" s="16">
        <f t="shared" si="2"/>
        <v>16</v>
      </c>
      <c r="M73" s="13" t="s">
        <v>68</v>
      </c>
      <c r="N73" s="13" t="s">
        <v>38</v>
      </c>
      <c r="O73" s="17">
        <f t="shared" si="3"/>
        <v>512</v>
      </c>
      <c r="P73" s="13" t="s">
        <v>39</v>
      </c>
      <c r="Q73" s="13" t="s">
        <v>742</v>
      </c>
      <c r="R73" s="18">
        <f t="shared" si="4"/>
        <v>1.62</v>
      </c>
      <c r="S73" s="13" t="s">
        <v>41</v>
      </c>
      <c r="T73" s="19">
        <f>VALUE(SUBSTITUTE(S73, " Inch", ""))</f>
        <v>14</v>
      </c>
      <c r="U73" s="13" t="s">
        <v>42</v>
      </c>
      <c r="V73" s="13" t="s">
        <v>43</v>
      </c>
      <c r="W73" s="12" t="s">
        <v>743</v>
      </c>
      <c r="X73" s="20" t="s">
        <v>744</v>
      </c>
      <c r="Y73" s="21" t="s">
        <v>745</v>
      </c>
      <c r="Z73" s="12" t="s">
        <v>504</v>
      </c>
      <c r="AA73" s="22" t="s">
        <v>531</v>
      </c>
      <c r="AB73" s="23" t="s">
        <v>746</v>
      </c>
    </row>
    <row r="74">
      <c r="A74" s="12" t="s">
        <v>747</v>
      </c>
      <c r="B74" s="13" t="s">
        <v>748</v>
      </c>
      <c r="C74" s="13" t="s">
        <v>704</v>
      </c>
      <c r="D74" s="14" t="s">
        <v>749</v>
      </c>
      <c r="E74" s="15">
        <f t="shared" si="1"/>
        <v>16199000</v>
      </c>
      <c r="F74" s="13" t="s">
        <v>32</v>
      </c>
      <c r="G74" s="13" t="s">
        <v>750</v>
      </c>
      <c r="H74" s="13" t="s">
        <v>90</v>
      </c>
      <c r="I74" s="13" t="s">
        <v>417</v>
      </c>
      <c r="J74" s="13" t="s">
        <v>90</v>
      </c>
      <c r="K74" s="13" t="s">
        <v>36</v>
      </c>
      <c r="L74" s="16">
        <f t="shared" si="2"/>
        <v>16</v>
      </c>
      <c r="M74" s="13" t="s">
        <v>209</v>
      </c>
      <c r="N74" s="13" t="s">
        <v>38</v>
      </c>
      <c r="O74" s="17">
        <f t="shared" si="3"/>
        <v>512</v>
      </c>
      <c r="P74" s="13" t="s">
        <v>39</v>
      </c>
      <c r="Q74" s="13" t="s">
        <v>660</v>
      </c>
      <c r="R74" s="18">
        <f t="shared" si="4"/>
        <v>1</v>
      </c>
      <c r="S74" s="13" t="s">
        <v>751</v>
      </c>
      <c r="T74" s="19">
        <f>VALUE(SUBSTITUTE(SUBSTITUTE(S74, " Inch", ""), ",", "."))</f>
        <v>13.3</v>
      </c>
      <c r="U74" s="13" t="s">
        <v>42</v>
      </c>
      <c r="V74" s="13" t="s">
        <v>198</v>
      </c>
      <c r="W74" s="12" t="s">
        <v>752</v>
      </c>
      <c r="X74" s="20" t="s">
        <v>753</v>
      </c>
      <c r="Y74" s="21" t="s">
        <v>754</v>
      </c>
      <c r="Z74" s="12" t="s">
        <v>487</v>
      </c>
      <c r="AA74" s="22" t="s">
        <v>755</v>
      </c>
      <c r="AB74" s="23" t="s">
        <v>756</v>
      </c>
    </row>
    <row r="75">
      <c r="A75" s="12" t="s">
        <v>757</v>
      </c>
      <c r="B75" s="13" t="s">
        <v>758</v>
      </c>
      <c r="C75" s="13" t="s">
        <v>704</v>
      </c>
      <c r="D75" s="14" t="s">
        <v>759</v>
      </c>
      <c r="E75" s="15">
        <f t="shared" si="1"/>
        <v>23849000</v>
      </c>
      <c r="F75" s="13" t="s">
        <v>32</v>
      </c>
      <c r="G75" s="13" t="s">
        <v>123</v>
      </c>
      <c r="H75" s="13" t="s">
        <v>34</v>
      </c>
      <c r="I75" s="13" t="s">
        <v>760</v>
      </c>
      <c r="J75" s="13" t="s">
        <v>34</v>
      </c>
      <c r="K75" s="13" t="s">
        <v>208</v>
      </c>
      <c r="L75" s="16">
        <f t="shared" si="2"/>
        <v>32</v>
      </c>
      <c r="M75" s="13" t="s">
        <v>68</v>
      </c>
      <c r="N75" s="13" t="s">
        <v>125</v>
      </c>
      <c r="O75" s="17">
        <f t="shared" si="3"/>
        <v>1024</v>
      </c>
      <c r="P75" s="13" t="s">
        <v>39</v>
      </c>
      <c r="Q75" s="13" t="s">
        <v>637</v>
      </c>
      <c r="R75" s="18">
        <f t="shared" si="4"/>
        <v>1.41</v>
      </c>
      <c r="S75" s="13" t="s">
        <v>41</v>
      </c>
      <c r="T75" s="19">
        <f t="shared" ref="T75:T76" si="17">VALUE(SUBSTITUTE(S75, " Inch", ""))</f>
        <v>14</v>
      </c>
      <c r="U75" s="13" t="s">
        <v>197</v>
      </c>
      <c r="V75" s="13" t="s">
        <v>211</v>
      </c>
      <c r="W75" s="12" t="s">
        <v>761</v>
      </c>
      <c r="X75" s="25" t="s">
        <v>762</v>
      </c>
      <c r="Y75" s="21" t="s">
        <v>763</v>
      </c>
      <c r="Z75" s="12" t="s">
        <v>764</v>
      </c>
      <c r="AA75" s="22" t="s">
        <v>765</v>
      </c>
      <c r="AB75" s="23" t="s">
        <v>766</v>
      </c>
    </row>
    <row r="76">
      <c r="A76" s="12" t="s">
        <v>767</v>
      </c>
      <c r="B76" s="13" t="s">
        <v>768</v>
      </c>
      <c r="C76" s="13" t="s">
        <v>704</v>
      </c>
      <c r="D76" s="14" t="s">
        <v>769</v>
      </c>
      <c r="E76" s="15">
        <f t="shared" si="1"/>
        <v>31949000</v>
      </c>
      <c r="F76" s="13" t="s">
        <v>32</v>
      </c>
      <c r="G76" s="13" t="s">
        <v>52</v>
      </c>
      <c r="H76" s="13" t="s">
        <v>34</v>
      </c>
      <c r="I76" s="13" t="s">
        <v>770</v>
      </c>
      <c r="J76" s="13" t="s">
        <v>34</v>
      </c>
      <c r="K76" s="13" t="s">
        <v>208</v>
      </c>
      <c r="L76" s="16">
        <f t="shared" si="2"/>
        <v>32</v>
      </c>
      <c r="M76" s="13" t="s">
        <v>209</v>
      </c>
      <c r="N76" s="13" t="s">
        <v>396</v>
      </c>
      <c r="O76" s="17">
        <f t="shared" si="3"/>
        <v>2048</v>
      </c>
      <c r="P76" s="13" t="s">
        <v>39</v>
      </c>
      <c r="Q76" s="13" t="s">
        <v>626</v>
      </c>
      <c r="R76" s="18">
        <f t="shared" si="4"/>
        <v>1.34</v>
      </c>
      <c r="S76" s="13" t="s">
        <v>41</v>
      </c>
      <c r="T76" s="19">
        <f t="shared" si="17"/>
        <v>14</v>
      </c>
      <c r="U76" s="13" t="s">
        <v>197</v>
      </c>
      <c r="V76" s="13" t="s">
        <v>211</v>
      </c>
      <c r="W76" s="12" t="s">
        <v>771</v>
      </c>
      <c r="X76" s="20" t="s">
        <v>772</v>
      </c>
      <c r="Y76" s="21" t="s">
        <v>773</v>
      </c>
      <c r="Z76" s="12" t="s">
        <v>617</v>
      </c>
      <c r="AA76" s="22" t="s">
        <v>774</v>
      </c>
      <c r="AB76" s="23" t="s">
        <v>775</v>
      </c>
    </row>
    <row r="77">
      <c r="A77" s="12" t="s">
        <v>776</v>
      </c>
      <c r="B77" s="13" t="s">
        <v>777</v>
      </c>
      <c r="C77" s="13" t="s">
        <v>704</v>
      </c>
      <c r="D77" s="14" t="s">
        <v>778</v>
      </c>
      <c r="E77" s="15">
        <f t="shared" si="1"/>
        <v>16999000</v>
      </c>
      <c r="F77" s="13" t="s">
        <v>32</v>
      </c>
      <c r="G77" s="13" t="s">
        <v>134</v>
      </c>
      <c r="H77" s="13" t="s">
        <v>135</v>
      </c>
      <c r="I77" s="13" t="s">
        <v>779</v>
      </c>
      <c r="J77" s="13" t="s">
        <v>34</v>
      </c>
      <c r="K77" s="13" t="s">
        <v>36</v>
      </c>
      <c r="L77" s="16">
        <f t="shared" si="2"/>
        <v>16</v>
      </c>
      <c r="M77" s="13" t="s">
        <v>79</v>
      </c>
      <c r="N77" s="13" t="s">
        <v>38</v>
      </c>
      <c r="O77" s="17">
        <f t="shared" si="3"/>
        <v>512</v>
      </c>
      <c r="P77" s="13" t="s">
        <v>39</v>
      </c>
      <c r="Q77" s="13" t="s">
        <v>780</v>
      </c>
      <c r="R77" s="18">
        <f t="shared" si="4"/>
        <v>2.29</v>
      </c>
      <c r="S77" s="13" t="s">
        <v>113</v>
      </c>
      <c r="T77" s="19">
        <f t="shared" ref="T77:T78" si="18">VALUE(SUBSTITUTE(SUBSTITUTE(S77, " Inch", ""), ",", "."))</f>
        <v>15.6</v>
      </c>
      <c r="U77" s="13" t="s">
        <v>42</v>
      </c>
      <c r="V77" s="13" t="s">
        <v>81</v>
      </c>
      <c r="W77" s="12" t="s">
        <v>781</v>
      </c>
      <c r="X77" s="20" t="s">
        <v>782</v>
      </c>
      <c r="Y77" s="21" t="s">
        <v>783</v>
      </c>
      <c r="Z77" s="12" t="s">
        <v>152</v>
      </c>
      <c r="AA77" s="22" t="s">
        <v>784</v>
      </c>
      <c r="AB77" s="23" t="s">
        <v>785</v>
      </c>
    </row>
    <row r="78">
      <c r="A78" s="12" t="s">
        <v>786</v>
      </c>
      <c r="B78" s="13" t="s">
        <v>787</v>
      </c>
      <c r="C78" s="13" t="s">
        <v>30</v>
      </c>
      <c r="D78" s="14" t="s">
        <v>788</v>
      </c>
      <c r="E78" s="15">
        <f t="shared" si="1"/>
        <v>19799000</v>
      </c>
      <c r="F78" s="13" t="s">
        <v>32</v>
      </c>
      <c r="G78" s="13" t="s">
        <v>168</v>
      </c>
      <c r="H78" s="13" t="s">
        <v>135</v>
      </c>
      <c r="I78" s="13" t="s">
        <v>185</v>
      </c>
      <c r="J78" s="13" t="s">
        <v>90</v>
      </c>
      <c r="K78" s="13" t="s">
        <v>659</v>
      </c>
      <c r="L78" s="16">
        <f t="shared" si="2"/>
        <v>24</v>
      </c>
      <c r="M78" s="13" t="s">
        <v>54</v>
      </c>
      <c r="N78" s="13" t="s">
        <v>38</v>
      </c>
      <c r="O78" s="17">
        <f t="shared" si="3"/>
        <v>512</v>
      </c>
      <c r="P78" s="13" t="s">
        <v>39</v>
      </c>
      <c r="Q78" s="13" t="s">
        <v>780</v>
      </c>
      <c r="R78" s="18">
        <f t="shared" si="4"/>
        <v>2.29</v>
      </c>
      <c r="S78" s="13" t="s">
        <v>113</v>
      </c>
      <c r="T78" s="19">
        <f t="shared" si="18"/>
        <v>15.6</v>
      </c>
      <c r="U78" s="13" t="s">
        <v>42</v>
      </c>
      <c r="V78" s="13" t="s">
        <v>81</v>
      </c>
      <c r="W78" s="12" t="s">
        <v>789</v>
      </c>
      <c r="X78" s="20" t="s">
        <v>790</v>
      </c>
      <c r="Y78" s="21" t="s">
        <v>791</v>
      </c>
      <c r="Z78" s="12" t="s">
        <v>152</v>
      </c>
      <c r="AA78" s="22" t="s">
        <v>180</v>
      </c>
      <c r="AB78" s="23" t="s">
        <v>792</v>
      </c>
    </row>
    <row r="79">
      <c r="A79" s="12" t="s">
        <v>793</v>
      </c>
      <c r="B79" s="13" t="s">
        <v>794</v>
      </c>
      <c r="C79" s="13" t="s">
        <v>795</v>
      </c>
      <c r="D79" s="14" t="s">
        <v>796</v>
      </c>
      <c r="E79" s="15">
        <f t="shared" si="1"/>
        <v>11499000</v>
      </c>
      <c r="F79" s="13" t="s">
        <v>32</v>
      </c>
      <c r="G79" s="13" t="s">
        <v>324</v>
      </c>
      <c r="H79" s="13" t="s">
        <v>34</v>
      </c>
      <c r="I79" s="13" t="s">
        <v>325</v>
      </c>
      <c r="J79" s="13" t="s">
        <v>34</v>
      </c>
      <c r="K79" s="13" t="s">
        <v>36</v>
      </c>
      <c r="L79" s="16">
        <f t="shared" si="2"/>
        <v>16</v>
      </c>
      <c r="M79" s="13" t="s">
        <v>797</v>
      </c>
      <c r="N79" s="13" t="s">
        <v>38</v>
      </c>
      <c r="O79" s="17">
        <f t="shared" si="3"/>
        <v>512</v>
      </c>
      <c r="P79" s="13" t="s">
        <v>39</v>
      </c>
      <c r="Q79" s="13" t="s">
        <v>660</v>
      </c>
      <c r="R79" s="18">
        <f t="shared" si="4"/>
        <v>1</v>
      </c>
      <c r="S79" s="13" t="s">
        <v>41</v>
      </c>
      <c r="T79" s="19">
        <f t="shared" ref="T79:T93" si="19">VALUE(SUBSTITUTE(S79, " Inch", ""))</f>
        <v>14</v>
      </c>
      <c r="U79" s="13" t="s">
        <v>197</v>
      </c>
      <c r="V79" s="13" t="s">
        <v>211</v>
      </c>
      <c r="W79" s="12" t="s">
        <v>798</v>
      </c>
      <c r="X79" s="20" t="s">
        <v>799</v>
      </c>
      <c r="Y79" s="21" t="s">
        <v>800</v>
      </c>
      <c r="Z79" s="12" t="s">
        <v>801</v>
      </c>
      <c r="AA79" s="22" t="s">
        <v>802</v>
      </c>
      <c r="AB79" s="23" t="s">
        <v>803</v>
      </c>
    </row>
    <row r="80">
      <c r="A80" s="12" t="s">
        <v>804</v>
      </c>
      <c r="B80" s="13" t="s">
        <v>805</v>
      </c>
      <c r="C80" s="13" t="s">
        <v>806</v>
      </c>
      <c r="D80" s="14" t="s">
        <v>807</v>
      </c>
      <c r="E80" s="15">
        <f t="shared" si="1"/>
        <v>17699000</v>
      </c>
      <c r="F80" s="13" t="s">
        <v>32</v>
      </c>
      <c r="G80" s="13" t="s">
        <v>808</v>
      </c>
      <c r="H80" s="13" t="s">
        <v>90</v>
      </c>
      <c r="I80" s="13" t="s">
        <v>809</v>
      </c>
      <c r="J80" s="13" t="s">
        <v>90</v>
      </c>
      <c r="K80" s="13" t="s">
        <v>36</v>
      </c>
      <c r="L80" s="16">
        <f t="shared" si="2"/>
        <v>16</v>
      </c>
      <c r="M80" s="13" t="s">
        <v>209</v>
      </c>
      <c r="N80" s="13" t="s">
        <v>38</v>
      </c>
      <c r="O80" s="17">
        <f t="shared" si="3"/>
        <v>512</v>
      </c>
      <c r="P80" s="13" t="s">
        <v>39</v>
      </c>
      <c r="Q80" s="13" t="s">
        <v>55</v>
      </c>
      <c r="R80" s="18">
        <f t="shared" si="4"/>
        <v>1.5</v>
      </c>
      <c r="S80" s="13" t="s">
        <v>41</v>
      </c>
      <c r="T80" s="19">
        <f t="shared" si="19"/>
        <v>14</v>
      </c>
      <c r="U80" s="13" t="s">
        <v>197</v>
      </c>
      <c r="V80" s="13" t="s">
        <v>43</v>
      </c>
      <c r="W80" s="12" t="s">
        <v>810</v>
      </c>
      <c r="X80" s="20" t="s">
        <v>811</v>
      </c>
      <c r="Y80" s="21" t="s">
        <v>812</v>
      </c>
      <c r="Z80" s="12" t="s">
        <v>504</v>
      </c>
      <c r="AA80" s="22" t="s">
        <v>813</v>
      </c>
      <c r="AB80" s="23" t="s">
        <v>814</v>
      </c>
    </row>
    <row r="81">
      <c r="A81" s="12" t="s">
        <v>815</v>
      </c>
      <c r="B81" s="13" t="s">
        <v>805</v>
      </c>
      <c r="C81" s="13" t="s">
        <v>806</v>
      </c>
      <c r="D81" s="14" t="s">
        <v>807</v>
      </c>
      <c r="E81" s="15">
        <f t="shared" si="1"/>
        <v>17699000</v>
      </c>
      <c r="F81" s="13" t="s">
        <v>32</v>
      </c>
      <c r="G81" s="13" t="s">
        <v>808</v>
      </c>
      <c r="H81" s="13" t="s">
        <v>90</v>
      </c>
      <c r="I81" s="13" t="s">
        <v>809</v>
      </c>
      <c r="J81" s="13" t="s">
        <v>90</v>
      </c>
      <c r="K81" s="13" t="s">
        <v>36</v>
      </c>
      <c r="L81" s="16">
        <f t="shared" si="2"/>
        <v>16</v>
      </c>
      <c r="M81" s="13" t="s">
        <v>209</v>
      </c>
      <c r="N81" s="13" t="s">
        <v>38</v>
      </c>
      <c r="O81" s="17">
        <f t="shared" si="3"/>
        <v>512</v>
      </c>
      <c r="P81" s="13" t="s">
        <v>39</v>
      </c>
      <c r="Q81" s="13" t="s">
        <v>55</v>
      </c>
      <c r="R81" s="18">
        <f t="shared" si="4"/>
        <v>1.5</v>
      </c>
      <c r="S81" s="13" t="s">
        <v>41</v>
      </c>
      <c r="T81" s="19">
        <f t="shared" si="19"/>
        <v>14</v>
      </c>
      <c r="U81" s="13" t="s">
        <v>197</v>
      </c>
      <c r="V81" s="13" t="s">
        <v>43</v>
      </c>
      <c r="W81" s="12" t="s">
        <v>816</v>
      </c>
      <c r="X81" s="20" t="s">
        <v>817</v>
      </c>
      <c r="Y81" s="21" t="s">
        <v>818</v>
      </c>
      <c r="Z81" s="12" t="s">
        <v>504</v>
      </c>
      <c r="AA81" s="22" t="s">
        <v>819</v>
      </c>
      <c r="AB81" s="23" t="s">
        <v>814</v>
      </c>
    </row>
    <row r="82">
      <c r="A82" s="12" t="s">
        <v>820</v>
      </c>
      <c r="B82" s="13" t="s">
        <v>805</v>
      </c>
      <c r="C82" s="13" t="s">
        <v>806</v>
      </c>
      <c r="D82" s="14" t="s">
        <v>425</v>
      </c>
      <c r="E82" s="15">
        <f t="shared" si="1"/>
        <v>16349000</v>
      </c>
      <c r="F82" s="13" t="s">
        <v>32</v>
      </c>
      <c r="G82" s="13" t="s">
        <v>65</v>
      </c>
      <c r="H82" s="13" t="s">
        <v>34</v>
      </c>
      <c r="I82" s="13" t="s">
        <v>158</v>
      </c>
      <c r="J82" s="13" t="s">
        <v>34</v>
      </c>
      <c r="K82" s="13" t="s">
        <v>36</v>
      </c>
      <c r="L82" s="16">
        <f t="shared" si="2"/>
        <v>16</v>
      </c>
      <c r="M82" s="13" t="s">
        <v>209</v>
      </c>
      <c r="N82" s="13" t="s">
        <v>38</v>
      </c>
      <c r="O82" s="17">
        <f t="shared" si="3"/>
        <v>512</v>
      </c>
      <c r="P82" s="13" t="s">
        <v>39</v>
      </c>
      <c r="Q82" s="13" t="s">
        <v>821</v>
      </c>
      <c r="R82" s="18">
        <f t="shared" si="4"/>
        <v>1.6</v>
      </c>
      <c r="S82" s="13" t="s">
        <v>41</v>
      </c>
      <c r="T82" s="19">
        <f t="shared" si="19"/>
        <v>14</v>
      </c>
      <c r="U82" s="13" t="s">
        <v>42</v>
      </c>
      <c r="V82" s="13" t="s">
        <v>43</v>
      </c>
      <c r="W82" s="12" t="s">
        <v>822</v>
      </c>
      <c r="X82" s="20" t="s">
        <v>823</v>
      </c>
      <c r="Y82" s="27" t="s">
        <v>317</v>
      </c>
      <c r="Z82" s="12" t="s">
        <v>504</v>
      </c>
      <c r="AA82" s="22" t="s">
        <v>824</v>
      </c>
      <c r="AB82" s="23" t="s">
        <v>825</v>
      </c>
    </row>
    <row r="83">
      <c r="A83" s="12" t="s">
        <v>826</v>
      </c>
      <c r="B83" s="13" t="s">
        <v>805</v>
      </c>
      <c r="C83" s="13" t="s">
        <v>806</v>
      </c>
      <c r="D83" s="14" t="s">
        <v>827</v>
      </c>
      <c r="E83" s="15">
        <f t="shared" si="1"/>
        <v>18599000</v>
      </c>
      <c r="F83" s="13" t="s">
        <v>32</v>
      </c>
      <c r="G83" s="13" t="s">
        <v>123</v>
      </c>
      <c r="H83" s="13" t="s">
        <v>34</v>
      </c>
      <c r="I83" s="13" t="s">
        <v>500</v>
      </c>
      <c r="J83" s="13" t="s">
        <v>34</v>
      </c>
      <c r="K83" s="13" t="s">
        <v>36</v>
      </c>
      <c r="L83" s="16">
        <f t="shared" si="2"/>
        <v>16</v>
      </c>
      <c r="M83" s="13" t="s">
        <v>209</v>
      </c>
      <c r="N83" s="13" t="s">
        <v>38</v>
      </c>
      <c r="O83" s="17">
        <f t="shared" si="3"/>
        <v>512</v>
      </c>
      <c r="P83" s="13" t="s">
        <v>39</v>
      </c>
      <c r="Q83" s="13" t="s">
        <v>55</v>
      </c>
      <c r="R83" s="18">
        <f t="shared" si="4"/>
        <v>1.5</v>
      </c>
      <c r="S83" s="13" t="s">
        <v>41</v>
      </c>
      <c r="T83" s="19">
        <f t="shared" si="19"/>
        <v>14</v>
      </c>
      <c r="U83" s="13" t="s">
        <v>197</v>
      </c>
      <c r="V83" s="13" t="s">
        <v>43</v>
      </c>
      <c r="W83" s="12" t="s">
        <v>828</v>
      </c>
      <c r="X83" s="20" t="s">
        <v>829</v>
      </c>
      <c r="Y83" s="21" t="s">
        <v>830</v>
      </c>
      <c r="Z83" s="12" t="s">
        <v>504</v>
      </c>
      <c r="AA83" s="22" t="s">
        <v>831</v>
      </c>
      <c r="AB83" s="23" t="s">
        <v>832</v>
      </c>
    </row>
    <row r="84">
      <c r="A84" s="12" t="s">
        <v>833</v>
      </c>
      <c r="B84" s="13" t="s">
        <v>805</v>
      </c>
      <c r="C84" s="13" t="s">
        <v>806</v>
      </c>
      <c r="D84" s="14" t="s">
        <v>834</v>
      </c>
      <c r="E84" s="15">
        <f t="shared" si="1"/>
        <v>18499000</v>
      </c>
      <c r="F84" s="13" t="s">
        <v>32</v>
      </c>
      <c r="G84" s="13" t="s">
        <v>33</v>
      </c>
      <c r="H84" s="13" t="s">
        <v>34</v>
      </c>
      <c r="I84" s="13" t="s">
        <v>684</v>
      </c>
      <c r="J84" s="13" t="s">
        <v>34</v>
      </c>
      <c r="K84" s="13" t="s">
        <v>36</v>
      </c>
      <c r="L84" s="16">
        <f t="shared" si="2"/>
        <v>16</v>
      </c>
      <c r="M84" s="13" t="s">
        <v>209</v>
      </c>
      <c r="N84" s="13" t="s">
        <v>38</v>
      </c>
      <c r="O84" s="17">
        <f t="shared" si="3"/>
        <v>512</v>
      </c>
      <c r="P84" s="13" t="s">
        <v>39</v>
      </c>
      <c r="Q84" s="13" t="s">
        <v>55</v>
      </c>
      <c r="R84" s="18">
        <f t="shared" si="4"/>
        <v>1.5</v>
      </c>
      <c r="S84" s="13" t="s">
        <v>41</v>
      </c>
      <c r="T84" s="19">
        <f t="shared" si="19"/>
        <v>14</v>
      </c>
      <c r="U84" s="13" t="s">
        <v>197</v>
      </c>
      <c r="V84" s="13" t="s">
        <v>43</v>
      </c>
      <c r="W84" s="12" t="s">
        <v>835</v>
      </c>
      <c r="X84" s="20" t="s">
        <v>836</v>
      </c>
      <c r="Y84" s="21" t="s">
        <v>837</v>
      </c>
      <c r="Z84" s="12" t="s">
        <v>59</v>
      </c>
      <c r="AA84" s="22" t="s">
        <v>838</v>
      </c>
      <c r="AB84" s="23" t="s">
        <v>839</v>
      </c>
    </row>
    <row r="85">
      <c r="A85" s="12" t="s">
        <v>840</v>
      </c>
      <c r="B85" s="13" t="s">
        <v>805</v>
      </c>
      <c r="C85" s="13" t="s">
        <v>806</v>
      </c>
      <c r="D85" s="14" t="s">
        <v>834</v>
      </c>
      <c r="E85" s="15">
        <f t="shared" si="1"/>
        <v>18499000</v>
      </c>
      <c r="F85" s="13" t="s">
        <v>32</v>
      </c>
      <c r="G85" s="13" t="s">
        <v>65</v>
      </c>
      <c r="H85" s="13" t="s">
        <v>34</v>
      </c>
      <c r="I85" s="13" t="s">
        <v>684</v>
      </c>
      <c r="J85" s="13" t="s">
        <v>34</v>
      </c>
      <c r="K85" s="13" t="s">
        <v>36</v>
      </c>
      <c r="L85" s="16">
        <f t="shared" si="2"/>
        <v>16</v>
      </c>
      <c r="M85" s="13" t="s">
        <v>209</v>
      </c>
      <c r="N85" s="13" t="s">
        <v>38</v>
      </c>
      <c r="O85" s="17">
        <f t="shared" si="3"/>
        <v>512</v>
      </c>
      <c r="P85" s="13" t="s">
        <v>39</v>
      </c>
      <c r="Q85" s="13" t="s">
        <v>55</v>
      </c>
      <c r="R85" s="18">
        <f t="shared" si="4"/>
        <v>1.5</v>
      </c>
      <c r="S85" s="13" t="s">
        <v>41</v>
      </c>
      <c r="T85" s="19">
        <f t="shared" si="19"/>
        <v>14</v>
      </c>
      <c r="U85" s="13" t="s">
        <v>197</v>
      </c>
      <c r="V85" s="13" t="s">
        <v>43</v>
      </c>
      <c r="W85" s="12" t="s">
        <v>841</v>
      </c>
      <c r="X85" s="20" t="s">
        <v>842</v>
      </c>
      <c r="Y85" s="21" t="s">
        <v>843</v>
      </c>
      <c r="Z85" s="12" t="s">
        <v>59</v>
      </c>
      <c r="AA85" s="22" t="s">
        <v>838</v>
      </c>
      <c r="AB85" s="23" t="s">
        <v>844</v>
      </c>
    </row>
    <row r="86">
      <c r="A86" s="12" t="s">
        <v>845</v>
      </c>
      <c r="B86" s="13" t="s">
        <v>805</v>
      </c>
      <c r="C86" s="13" t="s">
        <v>806</v>
      </c>
      <c r="D86" s="14" t="s">
        <v>846</v>
      </c>
      <c r="E86" s="15">
        <f t="shared" si="1"/>
        <v>17499000</v>
      </c>
      <c r="F86" s="13" t="s">
        <v>32</v>
      </c>
      <c r="G86" s="13" t="s">
        <v>847</v>
      </c>
      <c r="H86" s="13" t="s">
        <v>34</v>
      </c>
      <c r="I86" s="13" t="s">
        <v>848</v>
      </c>
      <c r="J86" s="13" t="s">
        <v>34</v>
      </c>
      <c r="K86" s="13" t="s">
        <v>36</v>
      </c>
      <c r="L86" s="16">
        <f t="shared" si="2"/>
        <v>16</v>
      </c>
      <c r="M86" s="13" t="s">
        <v>209</v>
      </c>
      <c r="N86" s="13" t="s">
        <v>38</v>
      </c>
      <c r="O86" s="17">
        <f t="shared" si="3"/>
        <v>512</v>
      </c>
      <c r="P86" s="13" t="s">
        <v>39</v>
      </c>
      <c r="Q86" s="13" t="s">
        <v>821</v>
      </c>
      <c r="R86" s="18">
        <f t="shared" si="4"/>
        <v>1.6</v>
      </c>
      <c r="S86" s="13" t="s">
        <v>41</v>
      </c>
      <c r="T86" s="19">
        <f t="shared" si="19"/>
        <v>14</v>
      </c>
      <c r="U86" s="13" t="s">
        <v>42</v>
      </c>
      <c r="V86" s="13" t="s">
        <v>43</v>
      </c>
      <c r="W86" s="12" t="s">
        <v>849</v>
      </c>
      <c r="X86" s="20" t="s">
        <v>850</v>
      </c>
      <c r="Y86" s="21" t="s">
        <v>851</v>
      </c>
      <c r="Z86" s="12" t="s">
        <v>504</v>
      </c>
      <c r="AA86" s="22" t="s">
        <v>852</v>
      </c>
      <c r="AB86" s="23" t="s">
        <v>853</v>
      </c>
    </row>
    <row r="87">
      <c r="A87" s="12" t="s">
        <v>854</v>
      </c>
      <c r="B87" s="13" t="s">
        <v>805</v>
      </c>
      <c r="C87" s="13" t="s">
        <v>806</v>
      </c>
      <c r="D87" s="14" t="s">
        <v>846</v>
      </c>
      <c r="E87" s="15">
        <f t="shared" si="1"/>
        <v>17499000</v>
      </c>
      <c r="F87" s="13" t="s">
        <v>32</v>
      </c>
      <c r="G87" s="13" t="s">
        <v>847</v>
      </c>
      <c r="H87" s="13" t="s">
        <v>34</v>
      </c>
      <c r="I87" s="13" t="s">
        <v>848</v>
      </c>
      <c r="J87" s="13" t="s">
        <v>34</v>
      </c>
      <c r="K87" s="13" t="s">
        <v>36</v>
      </c>
      <c r="L87" s="16">
        <f t="shared" si="2"/>
        <v>16</v>
      </c>
      <c r="M87" s="13" t="s">
        <v>209</v>
      </c>
      <c r="N87" s="13" t="s">
        <v>38</v>
      </c>
      <c r="O87" s="17">
        <f t="shared" si="3"/>
        <v>512</v>
      </c>
      <c r="P87" s="13" t="s">
        <v>39</v>
      </c>
      <c r="Q87" s="13" t="s">
        <v>821</v>
      </c>
      <c r="R87" s="18">
        <f t="shared" si="4"/>
        <v>1.6</v>
      </c>
      <c r="S87" s="13" t="s">
        <v>41</v>
      </c>
      <c r="T87" s="19">
        <f t="shared" si="19"/>
        <v>14</v>
      </c>
      <c r="U87" s="13" t="s">
        <v>42</v>
      </c>
      <c r="V87" s="13" t="s">
        <v>43</v>
      </c>
      <c r="W87" s="12" t="s">
        <v>855</v>
      </c>
      <c r="X87" s="20" t="s">
        <v>856</v>
      </c>
      <c r="Y87" s="21" t="s">
        <v>857</v>
      </c>
      <c r="Z87" s="12" t="s">
        <v>504</v>
      </c>
      <c r="AA87" s="22" t="s">
        <v>852</v>
      </c>
      <c r="AB87" s="23" t="s">
        <v>853</v>
      </c>
    </row>
    <row r="88">
      <c r="A88" s="12" t="s">
        <v>858</v>
      </c>
      <c r="B88" s="13" t="s">
        <v>805</v>
      </c>
      <c r="C88" s="13" t="s">
        <v>806</v>
      </c>
      <c r="D88" s="14" t="s">
        <v>859</v>
      </c>
      <c r="E88" s="15">
        <f t="shared" si="1"/>
        <v>16599000</v>
      </c>
      <c r="F88" s="13" t="s">
        <v>32</v>
      </c>
      <c r="G88" s="13" t="s">
        <v>847</v>
      </c>
      <c r="H88" s="13" t="s">
        <v>34</v>
      </c>
      <c r="I88" s="13" t="s">
        <v>860</v>
      </c>
      <c r="J88" s="13" t="s">
        <v>34</v>
      </c>
      <c r="K88" s="13" t="s">
        <v>36</v>
      </c>
      <c r="L88" s="16">
        <f t="shared" si="2"/>
        <v>16</v>
      </c>
      <c r="M88" s="13" t="s">
        <v>209</v>
      </c>
      <c r="N88" s="13" t="s">
        <v>38</v>
      </c>
      <c r="O88" s="17">
        <f t="shared" si="3"/>
        <v>512</v>
      </c>
      <c r="P88" s="13" t="s">
        <v>39</v>
      </c>
      <c r="Q88" s="13" t="s">
        <v>821</v>
      </c>
      <c r="R88" s="18">
        <f t="shared" si="4"/>
        <v>1.6</v>
      </c>
      <c r="S88" s="13" t="s">
        <v>41</v>
      </c>
      <c r="T88" s="19">
        <f t="shared" si="19"/>
        <v>14</v>
      </c>
      <c r="U88" s="13" t="s">
        <v>42</v>
      </c>
      <c r="V88" s="13" t="s">
        <v>43</v>
      </c>
      <c r="W88" s="12" t="s">
        <v>861</v>
      </c>
      <c r="X88" s="20" t="s">
        <v>862</v>
      </c>
      <c r="Y88" s="21" t="s">
        <v>863</v>
      </c>
      <c r="Z88" s="12" t="s">
        <v>59</v>
      </c>
      <c r="AA88" s="22" t="s">
        <v>864</v>
      </c>
      <c r="AB88" s="23" t="s">
        <v>865</v>
      </c>
    </row>
    <row r="89">
      <c r="A89" s="12" t="s">
        <v>866</v>
      </c>
      <c r="B89" s="13" t="s">
        <v>805</v>
      </c>
      <c r="C89" s="13" t="s">
        <v>806</v>
      </c>
      <c r="D89" s="14" t="s">
        <v>788</v>
      </c>
      <c r="E89" s="15">
        <f t="shared" si="1"/>
        <v>19799000</v>
      </c>
      <c r="F89" s="13" t="s">
        <v>32</v>
      </c>
      <c r="G89" s="13" t="s">
        <v>847</v>
      </c>
      <c r="H89" s="13" t="s">
        <v>34</v>
      </c>
      <c r="I89" s="13" t="s">
        <v>860</v>
      </c>
      <c r="J89" s="13" t="s">
        <v>34</v>
      </c>
      <c r="K89" s="13" t="s">
        <v>36</v>
      </c>
      <c r="L89" s="16">
        <f t="shared" si="2"/>
        <v>16</v>
      </c>
      <c r="M89" s="13" t="s">
        <v>209</v>
      </c>
      <c r="N89" s="13" t="s">
        <v>38</v>
      </c>
      <c r="O89" s="17">
        <f t="shared" si="3"/>
        <v>512</v>
      </c>
      <c r="P89" s="13" t="s">
        <v>39</v>
      </c>
      <c r="Q89" s="13" t="s">
        <v>821</v>
      </c>
      <c r="R89" s="18">
        <f t="shared" si="4"/>
        <v>1.6</v>
      </c>
      <c r="S89" s="13" t="s">
        <v>41</v>
      </c>
      <c r="T89" s="19">
        <f t="shared" si="19"/>
        <v>14</v>
      </c>
      <c r="U89" s="13" t="s">
        <v>42</v>
      </c>
      <c r="V89" s="13" t="s">
        <v>43</v>
      </c>
      <c r="W89" s="12" t="s">
        <v>867</v>
      </c>
      <c r="X89" s="20" t="s">
        <v>868</v>
      </c>
      <c r="Y89" s="21" t="s">
        <v>869</v>
      </c>
      <c r="Z89" s="12" t="s">
        <v>59</v>
      </c>
      <c r="AA89" s="22" t="s">
        <v>864</v>
      </c>
      <c r="AB89" s="23" t="s">
        <v>865</v>
      </c>
    </row>
    <row r="90">
      <c r="A90" s="12" t="s">
        <v>870</v>
      </c>
      <c r="B90" s="13" t="s">
        <v>871</v>
      </c>
      <c r="C90" s="13" t="s">
        <v>806</v>
      </c>
      <c r="D90" s="14" t="s">
        <v>872</v>
      </c>
      <c r="E90" s="15">
        <f t="shared" si="1"/>
        <v>12999000</v>
      </c>
      <c r="F90" s="13" t="s">
        <v>32</v>
      </c>
      <c r="G90" s="13" t="s">
        <v>110</v>
      </c>
      <c r="H90" s="13" t="s">
        <v>90</v>
      </c>
      <c r="I90" s="13" t="s">
        <v>873</v>
      </c>
      <c r="J90" s="13" t="s">
        <v>90</v>
      </c>
      <c r="K90" s="13" t="s">
        <v>36</v>
      </c>
      <c r="L90" s="16">
        <f t="shared" si="2"/>
        <v>16</v>
      </c>
      <c r="M90" s="13" t="s">
        <v>797</v>
      </c>
      <c r="N90" s="13" t="s">
        <v>38</v>
      </c>
      <c r="O90" s="17">
        <f t="shared" si="3"/>
        <v>512</v>
      </c>
      <c r="P90" s="13" t="s">
        <v>39</v>
      </c>
      <c r="Q90" s="13" t="s">
        <v>303</v>
      </c>
      <c r="R90" s="18">
        <f t="shared" si="4"/>
        <v>1.55</v>
      </c>
      <c r="S90" s="13" t="s">
        <v>41</v>
      </c>
      <c r="T90" s="19">
        <f t="shared" si="19"/>
        <v>14</v>
      </c>
      <c r="U90" s="13" t="s">
        <v>42</v>
      </c>
      <c r="V90" s="13" t="s">
        <v>43</v>
      </c>
      <c r="W90" s="12" t="s">
        <v>874</v>
      </c>
      <c r="X90" s="20" t="s">
        <v>875</v>
      </c>
      <c r="Y90" s="21" t="s">
        <v>876</v>
      </c>
      <c r="Z90" s="12" t="s">
        <v>504</v>
      </c>
      <c r="AA90" s="22" t="s">
        <v>877</v>
      </c>
      <c r="AB90" s="23" t="s">
        <v>878</v>
      </c>
    </row>
    <row r="91">
      <c r="A91" s="12" t="s">
        <v>879</v>
      </c>
      <c r="B91" s="13" t="s">
        <v>880</v>
      </c>
      <c r="C91" s="13" t="s">
        <v>806</v>
      </c>
      <c r="D91" s="14" t="s">
        <v>881</v>
      </c>
      <c r="E91" s="15">
        <f t="shared" si="1"/>
        <v>8449000</v>
      </c>
      <c r="F91" s="13" t="s">
        <v>32</v>
      </c>
      <c r="G91" s="13" t="s">
        <v>33</v>
      </c>
      <c r="H91" s="13" t="s">
        <v>34</v>
      </c>
      <c r="I91" s="13" t="s">
        <v>35</v>
      </c>
      <c r="J91" s="13" t="s">
        <v>34</v>
      </c>
      <c r="K91" s="13" t="s">
        <v>67</v>
      </c>
      <c r="L91" s="16">
        <f t="shared" si="2"/>
        <v>8</v>
      </c>
      <c r="M91" s="13" t="s">
        <v>68</v>
      </c>
      <c r="N91" s="13" t="s">
        <v>38</v>
      </c>
      <c r="O91" s="17">
        <f t="shared" si="3"/>
        <v>512</v>
      </c>
      <c r="P91" s="13" t="s">
        <v>39</v>
      </c>
      <c r="Q91" s="13" t="s">
        <v>882</v>
      </c>
      <c r="R91" s="18">
        <f t="shared" si="4"/>
        <v>1.37</v>
      </c>
      <c r="S91" s="13" t="s">
        <v>41</v>
      </c>
      <c r="T91" s="19">
        <f t="shared" si="19"/>
        <v>14</v>
      </c>
      <c r="U91" s="13" t="s">
        <v>258</v>
      </c>
      <c r="V91" s="13" t="s">
        <v>81</v>
      </c>
      <c r="W91" s="12" t="s">
        <v>883</v>
      </c>
      <c r="X91" s="20" t="s">
        <v>884</v>
      </c>
      <c r="Y91" s="21" t="s">
        <v>885</v>
      </c>
      <c r="Z91" s="12" t="s">
        <v>456</v>
      </c>
      <c r="AA91" s="22" t="s">
        <v>886</v>
      </c>
      <c r="AB91" s="23" t="s">
        <v>887</v>
      </c>
    </row>
    <row r="92">
      <c r="A92" s="12" t="s">
        <v>888</v>
      </c>
      <c r="B92" s="13" t="s">
        <v>880</v>
      </c>
      <c r="C92" s="13" t="s">
        <v>806</v>
      </c>
      <c r="D92" s="14" t="s">
        <v>889</v>
      </c>
      <c r="E92" s="15">
        <f t="shared" si="1"/>
        <v>11999000</v>
      </c>
      <c r="F92" s="13" t="s">
        <v>32</v>
      </c>
      <c r="G92" s="13" t="s">
        <v>33</v>
      </c>
      <c r="H92" s="13" t="s">
        <v>34</v>
      </c>
      <c r="I92" s="13" t="s">
        <v>779</v>
      </c>
      <c r="J92" s="13" t="s">
        <v>34</v>
      </c>
      <c r="K92" s="13" t="s">
        <v>36</v>
      </c>
      <c r="L92" s="16">
        <f t="shared" si="2"/>
        <v>16</v>
      </c>
      <c r="M92" s="13" t="s">
        <v>54</v>
      </c>
      <c r="N92" s="13" t="s">
        <v>38</v>
      </c>
      <c r="O92" s="17">
        <f t="shared" si="3"/>
        <v>512</v>
      </c>
      <c r="P92" s="13" t="s">
        <v>39</v>
      </c>
      <c r="Q92" s="13" t="s">
        <v>326</v>
      </c>
      <c r="R92" s="18">
        <f t="shared" si="4"/>
        <v>1.39</v>
      </c>
      <c r="S92" s="13" t="s">
        <v>41</v>
      </c>
      <c r="T92" s="19">
        <f t="shared" si="19"/>
        <v>14</v>
      </c>
      <c r="U92" s="13" t="s">
        <v>42</v>
      </c>
      <c r="V92" s="13" t="s">
        <v>43</v>
      </c>
      <c r="W92" s="12" t="s">
        <v>890</v>
      </c>
      <c r="X92" s="20" t="s">
        <v>891</v>
      </c>
      <c r="Y92" s="26" t="s">
        <v>892</v>
      </c>
      <c r="Z92" s="12" t="s">
        <v>487</v>
      </c>
      <c r="AA92" s="22" t="s">
        <v>330</v>
      </c>
      <c r="AB92" s="23" t="s">
        <v>893</v>
      </c>
    </row>
    <row r="93">
      <c r="A93" s="12" t="s">
        <v>894</v>
      </c>
      <c r="B93" s="13" t="s">
        <v>880</v>
      </c>
      <c r="C93" s="13" t="s">
        <v>806</v>
      </c>
      <c r="D93" s="14" t="s">
        <v>895</v>
      </c>
      <c r="E93" s="15">
        <f t="shared" si="1"/>
        <v>10099000</v>
      </c>
      <c r="F93" s="13" t="s">
        <v>32</v>
      </c>
      <c r="G93" s="13" t="s">
        <v>624</v>
      </c>
      <c r="H93" s="13" t="s">
        <v>90</v>
      </c>
      <c r="I93" s="13" t="s">
        <v>273</v>
      </c>
      <c r="J93" s="13" t="s">
        <v>90</v>
      </c>
      <c r="K93" s="13" t="s">
        <v>67</v>
      </c>
      <c r="L93" s="16">
        <f t="shared" si="2"/>
        <v>8</v>
      </c>
      <c r="M93" s="13" t="s">
        <v>54</v>
      </c>
      <c r="N93" s="13" t="s">
        <v>38</v>
      </c>
      <c r="O93" s="17">
        <f t="shared" si="3"/>
        <v>512</v>
      </c>
      <c r="P93" s="13" t="s">
        <v>39</v>
      </c>
      <c r="Q93" s="13" t="s">
        <v>326</v>
      </c>
      <c r="R93" s="18">
        <f t="shared" si="4"/>
        <v>1.39</v>
      </c>
      <c r="S93" s="13" t="s">
        <v>41</v>
      </c>
      <c r="T93" s="19">
        <f t="shared" si="19"/>
        <v>14</v>
      </c>
      <c r="U93" s="13" t="s">
        <v>42</v>
      </c>
      <c r="V93" s="13" t="s">
        <v>43</v>
      </c>
      <c r="W93" s="12" t="s">
        <v>896</v>
      </c>
      <c r="X93" s="20" t="s">
        <v>897</v>
      </c>
      <c r="Y93" s="21" t="s">
        <v>898</v>
      </c>
      <c r="Z93" s="12" t="s">
        <v>495</v>
      </c>
      <c r="AA93" s="22" t="s">
        <v>899</v>
      </c>
      <c r="AB93" s="23" t="s">
        <v>900</v>
      </c>
    </row>
    <row r="94">
      <c r="A94" s="12" t="s">
        <v>901</v>
      </c>
      <c r="B94" s="13" t="s">
        <v>902</v>
      </c>
      <c r="C94" s="13" t="s">
        <v>806</v>
      </c>
      <c r="D94" s="14" t="s">
        <v>903</v>
      </c>
      <c r="E94" s="15">
        <f t="shared" si="1"/>
        <v>23999000</v>
      </c>
      <c r="F94" s="13" t="s">
        <v>32</v>
      </c>
      <c r="G94" s="13" t="s">
        <v>168</v>
      </c>
      <c r="H94" s="13" t="s">
        <v>135</v>
      </c>
      <c r="I94" s="13" t="s">
        <v>904</v>
      </c>
      <c r="J94" s="13" t="s">
        <v>34</v>
      </c>
      <c r="K94" s="13" t="s">
        <v>36</v>
      </c>
      <c r="L94" s="16">
        <f t="shared" si="2"/>
        <v>16</v>
      </c>
      <c r="M94" s="13" t="s">
        <v>54</v>
      </c>
      <c r="N94" s="13" t="s">
        <v>38</v>
      </c>
      <c r="O94" s="17">
        <f t="shared" si="3"/>
        <v>512</v>
      </c>
      <c r="P94" s="13" t="s">
        <v>39</v>
      </c>
      <c r="Q94" s="13" t="s">
        <v>159</v>
      </c>
      <c r="R94" s="18">
        <f t="shared" si="4"/>
        <v>2.1</v>
      </c>
      <c r="S94" s="13" t="s">
        <v>724</v>
      </c>
      <c r="T94" s="19">
        <f t="shared" ref="T94:T95" si="20">VALUE(SUBSTITUTE(SUBSTITUTE(S94, " Inch", ""), ",", "."))</f>
        <v>15.3</v>
      </c>
      <c r="U94" s="13" t="s">
        <v>42</v>
      </c>
      <c r="V94" s="13" t="s">
        <v>43</v>
      </c>
      <c r="W94" s="12" t="s">
        <v>905</v>
      </c>
      <c r="X94" s="20" t="s">
        <v>906</v>
      </c>
      <c r="Y94" s="21" t="s">
        <v>907</v>
      </c>
      <c r="Z94" s="12" t="s">
        <v>411</v>
      </c>
      <c r="AA94" s="22" t="s">
        <v>908</v>
      </c>
      <c r="AB94" s="23" t="s">
        <v>909</v>
      </c>
    </row>
    <row r="95">
      <c r="A95" s="12" t="s">
        <v>910</v>
      </c>
      <c r="B95" s="13" t="s">
        <v>902</v>
      </c>
      <c r="C95" s="13" t="s">
        <v>806</v>
      </c>
      <c r="D95" s="14" t="s">
        <v>911</v>
      </c>
      <c r="E95" s="15">
        <f t="shared" si="1"/>
        <v>28999000</v>
      </c>
      <c r="F95" s="13" t="s">
        <v>32</v>
      </c>
      <c r="G95" s="13" t="s">
        <v>194</v>
      </c>
      <c r="H95" s="13" t="s">
        <v>135</v>
      </c>
      <c r="I95" s="13" t="s">
        <v>195</v>
      </c>
      <c r="J95" s="13" t="s">
        <v>34</v>
      </c>
      <c r="K95" s="13" t="s">
        <v>208</v>
      </c>
      <c r="L95" s="16">
        <f t="shared" si="2"/>
        <v>32</v>
      </c>
      <c r="M95" s="13" t="s">
        <v>54</v>
      </c>
      <c r="N95" s="13" t="s">
        <v>38</v>
      </c>
      <c r="O95" s="17">
        <f t="shared" si="3"/>
        <v>512</v>
      </c>
      <c r="P95" s="13" t="s">
        <v>39</v>
      </c>
      <c r="Q95" s="13" t="s">
        <v>912</v>
      </c>
      <c r="R95" s="18">
        <f t="shared" si="4"/>
        <v>1.9</v>
      </c>
      <c r="S95" s="13" t="s">
        <v>913</v>
      </c>
      <c r="T95" s="19">
        <f t="shared" si="20"/>
        <v>15.1</v>
      </c>
      <c r="U95" s="13" t="s">
        <v>197</v>
      </c>
      <c r="V95" s="13" t="s">
        <v>198</v>
      </c>
      <c r="W95" s="12" t="s">
        <v>914</v>
      </c>
      <c r="X95" s="20" t="s">
        <v>915</v>
      </c>
      <c r="Y95" s="21" t="s">
        <v>916</v>
      </c>
      <c r="Z95" s="12" t="s">
        <v>411</v>
      </c>
      <c r="AA95" s="22" t="s">
        <v>917</v>
      </c>
      <c r="AB95" s="23" t="s">
        <v>918</v>
      </c>
    </row>
    <row r="96">
      <c r="A96" s="12" t="s">
        <v>919</v>
      </c>
      <c r="B96" s="13" t="s">
        <v>920</v>
      </c>
      <c r="C96" s="13" t="s">
        <v>806</v>
      </c>
      <c r="D96" s="14" t="s">
        <v>921</v>
      </c>
      <c r="E96" s="15">
        <f t="shared" si="1"/>
        <v>38499000</v>
      </c>
      <c r="F96" s="13" t="s">
        <v>32</v>
      </c>
      <c r="G96" s="13" t="s">
        <v>683</v>
      </c>
      <c r="H96" s="13" t="s">
        <v>135</v>
      </c>
      <c r="I96" s="13" t="s">
        <v>395</v>
      </c>
      <c r="J96" s="13" t="s">
        <v>34</v>
      </c>
      <c r="K96" s="13" t="s">
        <v>208</v>
      </c>
      <c r="L96" s="16">
        <f t="shared" si="2"/>
        <v>32</v>
      </c>
      <c r="M96" s="13" t="s">
        <v>54</v>
      </c>
      <c r="N96" s="13" t="s">
        <v>125</v>
      </c>
      <c r="O96" s="17">
        <f t="shared" si="3"/>
        <v>1024</v>
      </c>
      <c r="P96" s="13" t="s">
        <v>39</v>
      </c>
      <c r="Q96" s="13" t="s">
        <v>922</v>
      </c>
      <c r="R96" s="18">
        <f t="shared" si="4"/>
        <v>2</v>
      </c>
      <c r="S96" s="13" t="s">
        <v>138</v>
      </c>
      <c r="T96" s="19">
        <f t="shared" ref="T96:T98" si="21">VALUE(SUBSTITUTE(S96, " Inch", ""))</f>
        <v>16</v>
      </c>
      <c r="U96" s="13" t="s">
        <v>197</v>
      </c>
      <c r="V96" s="13" t="s">
        <v>198</v>
      </c>
      <c r="W96" s="12" t="s">
        <v>923</v>
      </c>
      <c r="X96" s="20" t="s">
        <v>924</v>
      </c>
      <c r="Y96" s="21" t="s">
        <v>925</v>
      </c>
      <c r="Z96" s="12" t="s">
        <v>347</v>
      </c>
      <c r="AA96" s="22" t="s">
        <v>926</v>
      </c>
      <c r="AB96" s="23" t="s">
        <v>927</v>
      </c>
    </row>
    <row r="97">
      <c r="A97" s="12" t="s">
        <v>928</v>
      </c>
      <c r="B97" s="13" t="s">
        <v>929</v>
      </c>
      <c r="C97" s="13" t="s">
        <v>806</v>
      </c>
      <c r="D97" s="14" t="s">
        <v>930</v>
      </c>
      <c r="E97" s="15">
        <f t="shared" si="1"/>
        <v>28799000</v>
      </c>
      <c r="F97" s="13" t="s">
        <v>32</v>
      </c>
      <c r="G97" s="13" t="s">
        <v>194</v>
      </c>
      <c r="H97" s="13" t="s">
        <v>135</v>
      </c>
      <c r="I97" s="13" t="s">
        <v>195</v>
      </c>
      <c r="J97" s="13" t="s">
        <v>34</v>
      </c>
      <c r="K97" s="13" t="s">
        <v>36</v>
      </c>
      <c r="L97" s="16">
        <f t="shared" si="2"/>
        <v>16</v>
      </c>
      <c r="M97" s="13" t="s">
        <v>54</v>
      </c>
      <c r="N97" s="13" t="s">
        <v>125</v>
      </c>
      <c r="O97" s="17">
        <f t="shared" si="3"/>
        <v>1024</v>
      </c>
      <c r="P97" s="13" t="s">
        <v>39</v>
      </c>
      <c r="Q97" s="13" t="s">
        <v>931</v>
      </c>
      <c r="R97" s="18">
        <f t="shared" si="4"/>
        <v>2.43</v>
      </c>
      <c r="S97" s="13" t="s">
        <v>138</v>
      </c>
      <c r="T97" s="19">
        <f t="shared" si="21"/>
        <v>16</v>
      </c>
      <c r="U97" s="13" t="s">
        <v>197</v>
      </c>
      <c r="V97" s="13" t="s">
        <v>198</v>
      </c>
      <c r="W97" s="12" t="s">
        <v>932</v>
      </c>
      <c r="X97" s="20" t="s">
        <v>933</v>
      </c>
      <c r="Y97" s="21" t="s">
        <v>934</v>
      </c>
      <c r="Z97" s="12" t="s">
        <v>347</v>
      </c>
      <c r="AA97" s="22" t="s">
        <v>203</v>
      </c>
      <c r="AB97" s="23" t="s">
        <v>935</v>
      </c>
    </row>
    <row r="98">
      <c r="A98" s="12" t="s">
        <v>936</v>
      </c>
      <c r="B98" s="13" t="s">
        <v>937</v>
      </c>
      <c r="C98" s="13" t="s">
        <v>806</v>
      </c>
      <c r="D98" s="14" t="s">
        <v>938</v>
      </c>
      <c r="E98" s="15">
        <f t="shared" si="1"/>
        <v>70499000</v>
      </c>
      <c r="F98" s="13" t="s">
        <v>32</v>
      </c>
      <c r="G98" s="13" t="s">
        <v>939</v>
      </c>
      <c r="H98" s="13" t="s">
        <v>135</v>
      </c>
      <c r="I98" s="13" t="s">
        <v>395</v>
      </c>
      <c r="J98" s="13" t="s">
        <v>34</v>
      </c>
      <c r="K98" s="13" t="s">
        <v>208</v>
      </c>
      <c r="L98" s="16">
        <f t="shared" si="2"/>
        <v>32</v>
      </c>
      <c r="M98" s="13" t="s">
        <v>54</v>
      </c>
      <c r="N98" s="13" t="s">
        <v>125</v>
      </c>
      <c r="O98" s="17">
        <f t="shared" si="3"/>
        <v>1024</v>
      </c>
      <c r="P98" s="13" t="s">
        <v>39</v>
      </c>
      <c r="Q98" s="13" t="s">
        <v>940</v>
      </c>
      <c r="R98" s="18">
        <f t="shared" si="4"/>
        <v>2.57</v>
      </c>
      <c r="S98" s="13" t="s">
        <v>138</v>
      </c>
      <c r="T98" s="19">
        <f t="shared" si="21"/>
        <v>16</v>
      </c>
      <c r="U98" s="13" t="s">
        <v>197</v>
      </c>
      <c r="V98" s="13" t="s">
        <v>198</v>
      </c>
      <c r="W98" s="12" t="s">
        <v>941</v>
      </c>
      <c r="X98" s="20" t="s">
        <v>942</v>
      </c>
      <c r="Y98" s="21" t="s">
        <v>943</v>
      </c>
      <c r="Z98" s="12" t="s">
        <v>347</v>
      </c>
      <c r="AA98" s="22" t="s">
        <v>944</v>
      </c>
      <c r="AB98" s="23" t="s">
        <v>945</v>
      </c>
    </row>
    <row r="99">
      <c r="A99" s="12" t="s">
        <v>946</v>
      </c>
      <c r="B99" s="13" t="s">
        <v>947</v>
      </c>
      <c r="C99" s="13" t="s">
        <v>806</v>
      </c>
      <c r="D99" s="14" t="s">
        <v>788</v>
      </c>
      <c r="E99" s="15">
        <f t="shared" si="1"/>
        <v>19799000</v>
      </c>
      <c r="F99" s="13" t="s">
        <v>32</v>
      </c>
      <c r="G99" s="13" t="s">
        <v>157</v>
      </c>
      <c r="H99" s="13" t="s">
        <v>135</v>
      </c>
      <c r="I99" s="13" t="s">
        <v>904</v>
      </c>
      <c r="J99" s="13" t="s">
        <v>34</v>
      </c>
      <c r="K99" s="13" t="s">
        <v>36</v>
      </c>
      <c r="L99" s="16">
        <f t="shared" si="2"/>
        <v>16</v>
      </c>
      <c r="M99" s="13" t="s">
        <v>54</v>
      </c>
      <c r="N99" s="13" t="s">
        <v>38</v>
      </c>
      <c r="O99" s="17">
        <f t="shared" si="3"/>
        <v>512</v>
      </c>
      <c r="P99" s="13" t="s">
        <v>39</v>
      </c>
      <c r="Q99" s="13" t="s">
        <v>948</v>
      </c>
      <c r="R99" s="18">
        <f t="shared" si="4"/>
        <v>2.38</v>
      </c>
      <c r="S99" s="13" t="s">
        <v>113</v>
      </c>
      <c r="T99" s="19">
        <f>VALUE(SUBSTITUTE(SUBSTITUTE(S99, " Inch", ""), ",", "."))</f>
        <v>15.6</v>
      </c>
      <c r="U99" s="13" t="s">
        <v>42</v>
      </c>
      <c r="V99" s="13" t="s">
        <v>81</v>
      </c>
      <c r="W99" s="12" t="s">
        <v>949</v>
      </c>
      <c r="X99" s="20" t="s">
        <v>950</v>
      </c>
      <c r="Y99" s="21" t="s">
        <v>951</v>
      </c>
      <c r="Z99" s="12" t="s">
        <v>152</v>
      </c>
      <c r="AA99" s="22" t="s">
        <v>908</v>
      </c>
      <c r="AB99" s="23" t="s">
        <v>952</v>
      </c>
    </row>
    <row r="100">
      <c r="A100" s="12" t="s">
        <v>953</v>
      </c>
      <c r="B100" s="13" t="s">
        <v>954</v>
      </c>
      <c r="C100" s="13" t="s">
        <v>806</v>
      </c>
      <c r="D100" s="14" t="s">
        <v>955</v>
      </c>
      <c r="E100" s="15">
        <f t="shared" si="1"/>
        <v>19499000</v>
      </c>
      <c r="F100" s="13" t="s">
        <v>32</v>
      </c>
      <c r="G100" s="13" t="s">
        <v>168</v>
      </c>
      <c r="H100" s="13" t="s">
        <v>135</v>
      </c>
      <c r="I100" s="13" t="s">
        <v>956</v>
      </c>
      <c r="J100" s="13" t="s">
        <v>90</v>
      </c>
      <c r="K100" s="13" t="s">
        <v>36</v>
      </c>
      <c r="L100" s="16">
        <f t="shared" si="2"/>
        <v>16</v>
      </c>
      <c r="M100" s="13" t="s">
        <v>54</v>
      </c>
      <c r="N100" s="13" t="s">
        <v>38</v>
      </c>
      <c r="O100" s="17">
        <f t="shared" si="3"/>
        <v>512</v>
      </c>
      <c r="P100" s="13" t="s">
        <v>39</v>
      </c>
      <c r="Q100" s="13" t="s">
        <v>957</v>
      </c>
      <c r="R100" s="18">
        <f t="shared" si="4"/>
        <v>4</v>
      </c>
      <c r="S100" s="13" t="s">
        <v>958</v>
      </c>
      <c r="T100" s="19">
        <f t="shared" ref="T100:T102" si="22">VALUE(SUBSTITUTE(S100, " Inch", ""))</f>
        <v>6</v>
      </c>
      <c r="U100" s="13" t="s">
        <v>42</v>
      </c>
      <c r="V100" s="13" t="s">
        <v>81</v>
      </c>
      <c r="W100" s="12" t="s">
        <v>959</v>
      </c>
      <c r="X100" s="20" t="s">
        <v>960</v>
      </c>
      <c r="Y100" s="21" t="s">
        <v>961</v>
      </c>
      <c r="Z100" s="12" t="s">
        <v>962</v>
      </c>
      <c r="AA100" s="22" t="s">
        <v>963</v>
      </c>
      <c r="AB100" s="23" t="s">
        <v>964</v>
      </c>
    </row>
    <row r="101">
      <c r="A101" s="12" t="s">
        <v>965</v>
      </c>
      <c r="B101" s="13" t="s">
        <v>966</v>
      </c>
      <c r="C101" s="13" t="s">
        <v>806</v>
      </c>
      <c r="D101" s="14" t="s">
        <v>967</v>
      </c>
      <c r="E101" s="15">
        <f t="shared" si="1"/>
        <v>21999000</v>
      </c>
      <c r="F101" s="13" t="s">
        <v>32</v>
      </c>
      <c r="G101" s="13" t="s">
        <v>968</v>
      </c>
      <c r="H101" s="13" t="s">
        <v>34</v>
      </c>
      <c r="I101" s="13" t="s">
        <v>969</v>
      </c>
      <c r="J101" s="13" t="s">
        <v>34</v>
      </c>
      <c r="K101" s="13" t="s">
        <v>36</v>
      </c>
      <c r="L101" s="16">
        <f t="shared" si="2"/>
        <v>16</v>
      </c>
      <c r="M101" s="13" t="s">
        <v>209</v>
      </c>
      <c r="N101" s="13" t="s">
        <v>38</v>
      </c>
      <c r="O101" s="17">
        <f t="shared" si="3"/>
        <v>512</v>
      </c>
      <c r="P101" s="13" t="s">
        <v>39</v>
      </c>
      <c r="Q101" s="13" t="s">
        <v>210</v>
      </c>
      <c r="R101" s="18">
        <f t="shared" si="4"/>
        <v>1.32</v>
      </c>
      <c r="S101" s="13" t="s">
        <v>41</v>
      </c>
      <c r="T101" s="19">
        <f t="shared" si="22"/>
        <v>14</v>
      </c>
      <c r="U101" s="13" t="s">
        <v>42</v>
      </c>
      <c r="V101" s="13" t="s">
        <v>43</v>
      </c>
      <c r="W101" s="12" t="s">
        <v>970</v>
      </c>
      <c r="X101" s="20" t="s">
        <v>971</v>
      </c>
      <c r="Y101" s="21" t="s">
        <v>972</v>
      </c>
      <c r="Z101" s="12" t="s">
        <v>973</v>
      </c>
      <c r="AA101" s="22" t="s">
        <v>974</v>
      </c>
      <c r="AB101" s="23" t="s">
        <v>975</v>
      </c>
    </row>
    <row r="102">
      <c r="A102" s="12" t="s">
        <v>976</v>
      </c>
      <c r="B102" s="13" t="s">
        <v>966</v>
      </c>
      <c r="C102" s="13" t="s">
        <v>806</v>
      </c>
      <c r="D102" s="14" t="s">
        <v>977</v>
      </c>
      <c r="E102" s="15">
        <f t="shared" si="1"/>
        <v>26799000</v>
      </c>
      <c r="F102" s="13" t="s">
        <v>32</v>
      </c>
      <c r="G102" s="13" t="s">
        <v>978</v>
      </c>
      <c r="H102" s="13" t="s">
        <v>34</v>
      </c>
      <c r="I102" s="13" t="s">
        <v>576</v>
      </c>
      <c r="J102" s="13" t="s">
        <v>34</v>
      </c>
      <c r="K102" s="13" t="s">
        <v>36</v>
      </c>
      <c r="L102" s="16">
        <f t="shared" si="2"/>
        <v>16</v>
      </c>
      <c r="M102" s="13" t="s">
        <v>54</v>
      </c>
      <c r="N102" s="13" t="s">
        <v>125</v>
      </c>
      <c r="O102" s="17">
        <f t="shared" si="3"/>
        <v>1024</v>
      </c>
      <c r="P102" s="13" t="s">
        <v>39</v>
      </c>
      <c r="Q102" s="13" t="s">
        <v>626</v>
      </c>
      <c r="R102" s="18">
        <f t="shared" si="4"/>
        <v>1.34</v>
      </c>
      <c r="S102" s="13" t="s">
        <v>41</v>
      </c>
      <c r="T102" s="19">
        <f t="shared" si="22"/>
        <v>14</v>
      </c>
      <c r="U102" s="13" t="s">
        <v>42</v>
      </c>
      <c r="V102" s="13" t="s">
        <v>43</v>
      </c>
      <c r="W102" s="12" t="s">
        <v>979</v>
      </c>
      <c r="X102" s="20" t="s">
        <v>980</v>
      </c>
      <c r="Y102" s="27" t="s">
        <v>317</v>
      </c>
      <c r="Z102" s="12" t="s">
        <v>981</v>
      </c>
      <c r="AA102" s="22" t="s">
        <v>982</v>
      </c>
      <c r="AB102" s="23" t="s">
        <v>983</v>
      </c>
    </row>
    <row r="103">
      <c r="A103" s="12" t="s">
        <v>984</v>
      </c>
      <c r="B103" s="13" t="s">
        <v>985</v>
      </c>
      <c r="C103" s="13" t="s">
        <v>806</v>
      </c>
      <c r="D103" s="14" t="s">
        <v>986</v>
      </c>
      <c r="E103" s="15">
        <f t="shared" si="1"/>
        <v>21849000</v>
      </c>
      <c r="F103" s="13" t="s">
        <v>32</v>
      </c>
      <c r="G103" s="13" t="s">
        <v>847</v>
      </c>
      <c r="H103" s="13" t="s">
        <v>34</v>
      </c>
      <c r="I103" s="13" t="s">
        <v>848</v>
      </c>
      <c r="J103" s="13" t="s">
        <v>34</v>
      </c>
      <c r="K103" s="13" t="s">
        <v>36</v>
      </c>
      <c r="L103" s="16">
        <f t="shared" si="2"/>
        <v>16</v>
      </c>
      <c r="M103" s="13" t="s">
        <v>209</v>
      </c>
      <c r="N103" s="13" t="s">
        <v>38</v>
      </c>
      <c r="O103" s="17">
        <f t="shared" si="3"/>
        <v>512</v>
      </c>
      <c r="P103" s="13" t="s">
        <v>39</v>
      </c>
      <c r="Q103" s="13" t="s">
        <v>987</v>
      </c>
      <c r="R103" s="18">
        <f t="shared" si="4"/>
        <v>1.21</v>
      </c>
      <c r="S103" s="13" t="s">
        <v>751</v>
      </c>
      <c r="T103" s="19">
        <f>VALUE(SUBSTITUTE(SUBSTITUTE(S103, " Inch", ""), ",", "."))</f>
        <v>13.3</v>
      </c>
      <c r="U103" s="13" t="s">
        <v>42</v>
      </c>
      <c r="V103" s="13" t="s">
        <v>43</v>
      </c>
      <c r="W103" s="12" t="s">
        <v>988</v>
      </c>
      <c r="X103" s="20" t="s">
        <v>989</v>
      </c>
      <c r="Y103" s="21" t="s">
        <v>990</v>
      </c>
      <c r="Z103" s="12" t="s">
        <v>973</v>
      </c>
      <c r="AA103" s="22" t="s">
        <v>991</v>
      </c>
      <c r="AB103" s="23" t="s">
        <v>992</v>
      </c>
    </row>
    <row r="104">
      <c r="A104" s="12" t="s">
        <v>993</v>
      </c>
      <c r="B104" s="13" t="s">
        <v>994</v>
      </c>
      <c r="C104" s="13" t="s">
        <v>806</v>
      </c>
      <c r="D104" s="14" t="s">
        <v>995</v>
      </c>
      <c r="E104" s="15">
        <f t="shared" si="1"/>
        <v>43499000</v>
      </c>
      <c r="F104" s="13" t="s">
        <v>32</v>
      </c>
      <c r="G104" s="13" t="s">
        <v>968</v>
      </c>
      <c r="H104" s="13" t="s">
        <v>34</v>
      </c>
      <c r="I104" s="13" t="s">
        <v>613</v>
      </c>
      <c r="J104" s="13" t="s">
        <v>34</v>
      </c>
      <c r="K104" s="13" t="s">
        <v>208</v>
      </c>
      <c r="L104" s="16">
        <f t="shared" si="2"/>
        <v>32</v>
      </c>
      <c r="M104" s="13" t="s">
        <v>209</v>
      </c>
      <c r="N104" s="13" t="s">
        <v>125</v>
      </c>
      <c r="O104" s="17">
        <f t="shared" si="3"/>
        <v>1024</v>
      </c>
      <c r="P104" s="13" t="s">
        <v>39</v>
      </c>
      <c r="Q104" s="13" t="s">
        <v>996</v>
      </c>
      <c r="R104" s="18">
        <f t="shared" si="4"/>
        <v>0.99</v>
      </c>
      <c r="S104" s="13" t="s">
        <v>41</v>
      </c>
      <c r="T104" s="19">
        <f t="shared" ref="T104:T113" si="23">VALUE(SUBSTITUTE(S104, " Inch", ""))</f>
        <v>14</v>
      </c>
      <c r="U104" s="13" t="s">
        <v>42</v>
      </c>
      <c r="V104" s="13" t="s">
        <v>43</v>
      </c>
      <c r="W104" s="12" t="s">
        <v>997</v>
      </c>
      <c r="X104" s="20" t="s">
        <v>998</v>
      </c>
      <c r="Y104" s="26" t="s">
        <v>999</v>
      </c>
      <c r="Z104" s="12" t="s">
        <v>981</v>
      </c>
      <c r="AA104" s="22" t="s">
        <v>1000</v>
      </c>
      <c r="AB104" s="23" t="s">
        <v>1001</v>
      </c>
    </row>
    <row r="105">
      <c r="A105" s="12" t="s">
        <v>1002</v>
      </c>
      <c r="B105" s="13" t="s">
        <v>1003</v>
      </c>
      <c r="C105" s="13" t="s">
        <v>806</v>
      </c>
      <c r="D105" s="14" t="s">
        <v>1004</v>
      </c>
      <c r="E105" s="15">
        <f t="shared" si="1"/>
        <v>20499000</v>
      </c>
      <c r="F105" s="13" t="s">
        <v>32</v>
      </c>
      <c r="G105" s="13" t="s">
        <v>1005</v>
      </c>
      <c r="H105" s="13" t="s">
        <v>90</v>
      </c>
      <c r="I105" s="13" t="s">
        <v>417</v>
      </c>
      <c r="J105" s="13" t="s">
        <v>90</v>
      </c>
      <c r="K105" s="13" t="s">
        <v>36</v>
      </c>
      <c r="L105" s="16">
        <f t="shared" si="2"/>
        <v>16</v>
      </c>
      <c r="M105" s="13" t="s">
        <v>68</v>
      </c>
      <c r="N105" s="13" t="s">
        <v>125</v>
      </c>
      <c r="O105" s="17">
        <f t="shared" si="3"/>
        <v>1024</v>
      </c>
      <c r="P105" s="13" t="s">
        <v>39</v>
      </c>
      <c r="Q105" s="13" t="s">
        <v>460</v>
      </c>
      <c r="R105" s="18">
        <f t="shared" si="4"/>
        <v>1.38</v>
      </c>
      <c r="S105" s="13" t="s">
        <v>41</v>
      </c>
      <c r="T105" s="19">
        <f t="shared" si="23"/>
        <v>14</v>
      </c>
      <c r="U105" s="13" t="s">
        <v>197</v>
      </c>
      <c r="V105" s="13" t="s">
        <v>43</v>
      </c>
      <c r="W105" s="12" t="s">
        <v>1006</v>
      </c>
      <c r="X105" s="20" t="s">
        <v>1007</v>
      </c>
      <c r="Y105" s="21" t="s">
        <v>1008</v>
      </c>
      <c r="Z105" s="12" t="s">
        <v>1009</v>
      </c>
      <c r="AA105" s="22" t="s">
        <v>819</v>
      </c>
      <c r="AB105" s="23" t="s">
        <v>1010</v>
      </c>
    </row>
    <row r="106">
      <c r="A106" s="12" t="s">
        <v>1011</v>
      </c>
      <c r="B106" s="13" t="s">
        <v>1003</v>
      </c>
      <c r="C106" s="13" t="s">
        <v>806</v>
      </c>
      <c r="D106" s="14" t="s">
        <v>712</v>
      </c>
      <c r="E106" s="15">
        <f t="shared" si="1"/>
        <v>18999000</v>
      </c>
      <c r="F106" s="13" t="s">
        <v>32</v>
      </c>
      <c r="G106" s="13" t="s">
        <v>1012</v>
      </c>
      <c r="H106" s="13" t="s">
        <v>34</v>
      </c>
      <c r="I106" s="13" t="s">
        <v>969</v>
      </c>
      <c r="J106" s="13" t="s">
        <v>34</v>
      </c>
      <c r="K106" s="13" t="s">
        <v>36</v>
      </c>
      <c r="L106" s="16">
        <f t="shared" si="2"/>
        <v>16</v>
      </c>
      <c r="M106" s="13" t="s">
        <v>209</v>
      </c>
      <c r="N106" s="13" t="s">
        <v>38</v>
      </c>
      <c r="O106" s="17">
        <f t="shared" si="3"/>
        <v>512</v>
      </c>
      <c r="P106" s="13" t="s">
        <v>39</v>
      </c>
      <c r="Q106" s="13" t="s">
        <v>460</v>
      </c>
      <c r="R106" s="18">
        <f t="shared" si="4"/>
        <v>1.38</v>
      </c>
      <c r="S106" s="13" t="s">
        <v>41</v>
      </c>
      <c r="T106" s="19">
        <f t="shared" si="23"/>
        <v>14</v>
      </c>
      <c r="U106" s="13" t="s">
        <v>197</v>
      </c>
      <c r="V106" s="13" t="s">
        <v>43</v>
      </c>
      <c r="W106" s="12" t="s">
        <v>1013</v>
      </c>
      <c r="X106" s="20" t="s">
        <v>1014</v>
      </c>
      <c r="Y106" s="21" t="s">
        <v>1015</v>
      </c>
      <c r="Z106" s="12" t="s">
        <v>567</v>
      </c>
      <c r="AA106" s="22" t="s">
        <v>568</v>
      </c>
      <c r="AB106" s="23" t="s">
        <v>1016</v>
      </c>
    </row>
    <row r="107">
      <c r="A107" s="12" t="s">
        <v>1017</v>
      </c>
      <c r="B107" s="13" t="s">
        <v>1003</v>
      </c>
      <c r="C107" s="13" t="s">
        <v>806</v>
      </c>
      <c r="D107" s="14" t="s">
        <v>1018</v>
      </c>
      <c r="E107" s="15">
        <f t="shared" si="1"/>
        <v>20899000</v>
      </c>
      <c r="F107" s="13" t="s">
        <v>32</v>
      </c>
      <c r="G107" s="13" t="s">
        <v>52</v>
      </c>
      <c r="H107" s="13" t="s">
        <v>34</v>
      </c>
      <c r="I107" s="13" t="s">
        <v>53</v>
      </c>
      <c r="J107" s="13" t="s">
        <v>34</v>
      </c>
      <c r="K107" s="13" t="s">
        <v>36</v>
      </c>
      <c r="L107" s="16">
        <f t="shared" si="2"/>
        <v>16</v>
      </c>
      <c r="M107" s="13" t="s">
        <v>209</v>
      </c>
      <c r="N107" s="13" t="s">
        <v>125</v>
      </c>
      <c r="O107" s="17">
        <f t="shared" si="3"/>
        <v>1024</v>
      </c>
      <c r="P107" s="13" t="s">
        <v>39</v>
      </c>
      <c r="Q107" s="13" t="s">
        <v>40</v>
      </c>
      <c r="R107" s="18">
        <f t="shared" si="4"/>
        <v>1.49</v>
      </c>
      <c r="S107" s="13" t="s">
        <v>41</v>
      </c>
      <c r="T107" s="19">
        <f t="shared" si="23"/>
        <v>14</v>
      </c>
      <c r="U107" s="13" t="s">
        <v>197</v>
      </c>
      <c r="V107" s="13" t="s">
        <v>211</v>
      </c>
      <c r="W107" s="12" t="s">
        <v>1019</v>
      </c>
      <c r="X107" s="20" t="s">
        <v>1020</v>
      </c>
      <c r="Y107" s="21" t="s">
        <v>1021</v>
      </c>
      <c r="Z107" s="12" t="s">
        <v>617</v>
      </c>
      <c r="AA107" s="22" t="s">
        <v>1022</v>
      </c>
      <c r="AB107" s="23" t="s">
        <v>1023</v>
      </c>
    </row>
    <row r="108">
      <c r="A108" s="12" t="s">
        <v>1024</v>
      </c>
      <c r="B108" s="13" t="s">
        <v>1003</v>
      </c>
      <c r="C108" s="13" t="s">
        <v>806</v>
      </c>
      <c r="D108" s="14" t="s">
        <v>1025</v>
      </c>
      <c r="E108" s="15">
        <f t="shared" si="1"/>
        <v>22899000</v>
      </c>
      <c r="F108" s="13" t="s">
        <v>32</v>
      </c>
      <c r="G108" s="13" t="s">
        <v>968</v>
      </c>
      <c r="H108" s="13" t="s">
        <v>34</v>
      </c>
      <c r="I108" s="13" t="s">
        <v>515</v>
      </c>
      <c r="J108" s="13" t="s">
        <v>34</v>
      </c>
      <c r="K108" s="13" t="s">
        <v>36</v>
      </c>
      <c r="L108" s="16">
        <f t="shared" si="2"/>
        <v>16</v>
      </c>
      <c r="M108" s="13" t="s">
        <v>209</v>
      </c>
      <c r="N108" s="13" t="s">
        <v>125</v>
      </c>
      <c r="O108" s="17">
        <f t="shared" si="3"/>
        <v>1024</v>
      </c>
      <c r="P108" s="13" t="s">
        <v>39</v>
      </c>
      <c r="Q108" s="13" t="s">
        <v>460</v>
      </c>
      <c r="R108" s="18">
        <f t="shared" si="4"/>
        <v>1.38</v>
      </c>
      <c r="S108" s="13" t="s">
        <v>41</v>
      </c>
      <c r="T108" s="19">
        <f t="shared" si="23"/>
        <v>14</v>
      </c>
      <c r="U108" s="13" t="s">
        <v>197</v>
      </c>
      <c r="V108" s="13" t="s">
        <v>211</v>
      </c>
      <c r="W108" s="12" t="s">
        <v>1026</v>
      </c>
      <c r="X108" s="20" t="s">
        <v>1027</v>
      </c>
      <c r="Y108" s="21" t="s">
        <v>1028</v>
      </c>
      <c r="Z108" s="12" t="s">
        <v>617</v>
      </c>
      <c r="AA108" s="22" t="s">
        <v>1022</v>
      </c>
      <c r="AB108" s="23" t="s">
        <v>1029</v>
      </c>
    </row>
    <row r="109">
      <c r="A109" s="12" t="s">
        <v>1030</v>
      </c>
      <c r="B109" s="13" t="s">
        <v>1003</v>
      </c>
      <c r="C109" s="13" t="s">
        <v>806</v>
      </c>
      <c r="D109" s="14" t="s">
        <v>1025</v>
      </c>
      <c r="E109" s="15">
        <f t="shared" si="1"/>
        <v>22899000</v>
      </c>
      <c r="F109" s="13" t="s">
        <v>32</v>
      </c>
      <c r="G109" s="13" t="s">
        <v>1031</v>
      </c>
      <c r="H109" s="13" t="s">
        <v>34</v>
      </c>
      <c r="I109" s="13" t="s">
        <v>515</v>
      </c>
      <c r="J109" s="13" t="s">
        <v>34</v>
      </c>
      <c r="K109" s="13" t="s">
        <v>36</v>
      </c>
      <c r="L109" s="16">
        <f t="shared" si="2"/>
        <v>16</v>
      </c>
      <c r="M109" s="13" t="s">
        <v>209</v>
      </c>
      <c r="N109" s="13" t="s">
        <v>125</v>
      </c>
      <c r="O109" s="17">
        <f t="shared" si="3"/>
        <v>1024</v>
      </c>
      <c r="P109" s="13" t="s">
        <v>39</v>
      </c>
      <c r="Q109" s="13" t="s">
        <v>460</v>
      </c>
      <c r="R109" s="18">
        <f t="shared" si="4"/>
        <v>1.38</v>
      </c>
      <c r="S109" s="13" t="s">
        <v>41</v>
      </c>
      <c r="T109" s="19">
        <f t="shared" si="23"/>
        <v>14</v>
      </c>
      <c r="U109" s="13" t="s">
        <v>197</v>
      </c>
      <c r="V109" s="13" t="s">
        <v>211</v>
      </c>
      <c r="W109" s="12" t="s">
        <v>1032</v>
      </c>
      <c r="X109" s="20" t="s">
        <v>1033</v>
      </c>
      <c r="Y109" s="21" t="s">
        <v>1034</v>
      </c>
      <c r="Z109" s="12" t="s">
        <v>1035</v>
      </c>
      <c r="AA109" s="22" t="s">
        <v>1022</v>
      </c>
      <c r="AB109" s="23" t="s">
        <v>1036</v>
      </c>
    </row>
    <row r="110">
      <c r="A110" s="12" t="s">
        <v>1037</v>
      </c>
      <c r="B110" s="13" t="s">
        <v>1038</v>
      </c>
      <c r="C110" s="13" t="s">
        <v>806</v>
      </c>
      <c r="D110" s="14" t="s">
        <v>1039</v>
      </c>
      <c r="E110" s="15">
        <f t="shared" si="1"/>
        <v>38999000</v>
      </c>
      <c r="F110" s="13" t="s">
        <v>32</v>
      </c>
      <c r="G110" s="13" t="s">
        <v>1040</v>
      </c>
      <c r="H110" s="13" t="s">
        <v>34</v>
      </c>
      <c r="I110" s="13" t="s">
        <v>603</v>
      </c>
      <c r="J110" s="13" t="s">
        <v>34</v>
      </c>
      <c r="K110" s="13" t="s">
        <v>208</v>
      </c>
      <c r="L110" s="16">
        <f t="shared" si="2"/>
        <v>32</v>
      </c>
      <c r="M110" s="13" t="s">
        <v>209</v>
      </c>
      <c r="N110" s="13" t="s">
        <v>125</v>
      </c>
      <c r="O110" s="17">
        <f t="shared" si="3"/>
        <v>1024</v>
      </c>
      <c r="P110" s="13" t="s">
        <v>39</v>
      </c>
      <c r="Q110" s="13" t="s">
        <v>1041</v>
      </c>
      <c r="R110" s="18">
        <f t="shared" si="4"/>
        <v>1.22</v>
      </c>
      <c r="S110" s="13" t="s">
        <v>41</v>
      </c>
      <c r="T110" s="19">
        <f t="shared" si="23"/>
        <v>14</v>
      </c>
      <c r="U110" s="13" t="s">
        <v>197</v>
      </c>
      <c r="V110" s="13" t="s">
        <v>211</v>
      </c>
      <c r="W110" s="12" t="s">
        <v>1042</v>
      </c>
      <c r="X110" s="20" t="s">
        <v>1043</v>
      </c>
      <c r="Y110" s="24" t="s">
        <v>1044</v>
      </c>
      <c r="Z110" s="12" t="s">
        <v>617</v>
      </c>
      <c r="AA110" s="22" t="s">
        <v>774</v>
      </c>
      <c r="AB110" s="23" t="s">
        <v>1045</v>
      </c>
    </row>
    <row r="111">
      <c r="A111" s="12" t="s">
        <v>1046</v>
      </c>
      <c r="B111" s="13" t="s">
        <v>1047</v>
      </c>
      <c r="C111" s="13" t="s">
        <v>806</v>
      </c>
      <c r="D111" s="14" t="s">
        <v>749</v>
      </c>
      <c r="E111" s="15">
        <f t="shared" si="1"/>
        <v>16199000</v>
      </c>
      <c r="F111" s="13" t="s">
        <v>32</v>
      </c>
      <c r="G111" s="13" t="s">
        <v>968</v>
      </c>
      <c r="H111" s="13" t="s">
        <v>34</v>
      </c>
      <c r="I111" s="13" t="s">
        <v>1048</v>
      </c>
      <c r="J111" s="13" t="s">
        <v>34</v>
      </c>
      <c r="K111" s="13" t="s">
        <v>36</v>
      </c>
      <c r="L111" s="16">
        <f t="shared" si="2"/>
        <v>16</v>
      </c>
      <c r="M111" s="13" t="s">
        <v>68</v>
      </c>
      <c r="N111" s="13" t="s">
        <v>38</v>
      </c>
      <c r="O111" s="17">
        <f t="shared" si="3"/>
        <v>512</v>
      </c>
      <c r="P111" s="13" t="s">
        <v>39</v>
      </c>
      <c r="Q111" s="13" t="s">
        <v>1049</v>
      </c>
      <c r="R111" s="18">
        <f t="shared" si="4"/>
        <v>1.43</v>
      </c>
      <c r="S111" s="13" t="s">
        <v>41</v>
      </c>
      <c r="T111" s="19">
        <f t="shared" si="23"/>
        <v>14</v>
      </c>
      <c r="U111" s="13" t="s">
        <v>197</v>
      </c>
      <c r="V111" s="13" t="s">
        <v>43</v>
      </c>
      <c r="W111" s="12" t="s">
        <v>1050</v>
      </c>
      <c r="X111" s="20" t="s">
        <v>1051</v>
      </c>
      <c r="Y111" s="21" t="s">
        <v>1052</v>
      </c>
      <c r="Z111" s="12" t="s">
        <v>487</v>
      </c>
      <c r="AA111" s="22" t="s">
        <v>1053</v>
      </c>
      <c r="AB111" s="23" t="s">
        <v>1054</v>
      </c>
    </row>
    <row r="112">
      <c r="A112" s="12" t="s">
        <v>1055</v>
      </c>
      <c r="B112" s="13" t="s">
        <v>1047</v>
      </c>
      <c r="C112" s="13" t="s">
        <v>806</v>
      </c>
      <c r="D112" s="14" t="s">
        <v>1056</v>
      </c>
      <c r="E112" s="15">
        <f t="shared" si="1"/>
        <v>16899000</v>
      </c>
      <c r="F112" s="13" t="s">
        <v>32</v>
      </c>
      <c r="G112" s="13" t="s">
        <v>1012</v>
      </c>
      <c r="H112" s="13" t="s">
        <v>34</v>
      </c>
      <c r="I112" s="13" t="s">
        <v>969</v>
      </c>
      <c r="J112" s="13" t="s">
        <v>34</v>
      </c>
      <c r="K112" s="13" t="s">
        <v>36</v>
      </c>
      <c r="L112" s="16">
        <f t="shared" si="2"/>
        <v>16</v>
      </c>
      <c r="M112" s="13" t="s">
        <v>209</v>
      </c>
      <c r="N112" s="13" t="s">
        <v>38</v>
      </c>
      <c r="O112" s="17">
        <f t="shared" si="3"/>
        <v>512</v>
      </c>
      <c r="P112" s="13" t="s">
        <v>39</v>
      </c>
      <c r="Q112" s="13" t="s">
        <v>1057</v>
      </c>
      <c r="R112" s="18">
        <f t="shared" si="4"/>
        <v>1.19</v>
      </c>
      <c r="S112" s="13" t="s">
        <v>41</v>
      </c>
      <c r="T112" s="19">
        <f t="shared" si="23"/>
        <v>14</v>
      </c>
      <c r="U112" s="13" t="s">
        <v>197</v>
      </c>
      <c r="V112" s="13" t="s">
        <v>43</v>
      </c>
      <c r="W112" s="12" t="s">
        <v>1058</v>
      </c>
      <c r="X112" s="20" t="s">
        <v>1059</v>
      </c>
      <c r="Y112" s="21" t="s">
        <v>1060</v>
      </c>
      <c r="Z112" s="12" t="s">
        <v>487</v>
      </c>
      <c r="AA112" s="22" t="s">
        <v>1061</v>
      </c>
      <c r="AB112" s="23" t="s">
        <v>1062</v>
      </c>
    </row>
    <row r="113">
      <c r="A113" s="12" t="s">
        <v>1063</v>
      </c>
      <c r="B113" s="13" t="s">
        <v>1064</v>
      </c>
      <c r="C113" s="13" t="s">
        <v>1065</v>
      </c>
      <c r="D113" s="14" t="s">
        <v>1066</v>
      </c>
      <c r="E113" s="15">
        <f t="shared" si="1"/>
        <v>26999000</v>
      </c>
      <c r="F113" s="13" t="s">
        <v>32</v>
      </c>
      <c r="G113" s="13" t="s">
        <v>683</v>
      </c>
      <c r="H113" s="13" t="s">
        <v>135</v>
      </c>
      <c r="I113" s="13" t="s">
        <v>1067</v>
      </c>
      <c r="J113" s="13" t="s">
        <v>90</v>
      </c>
      <c r="K113" s="13" t="s">
        <v>36</v>
      </c>
      <c r="L113" s="16">
        <f t="shared" si="2"/>
        <v>16</v>
      </c>
      <c r="M113" s="13" t="s">
        <v>54</v>
      </c>
      <c r="N113" s="13" t="s">
        <v>38</v>
      </c>
      <c r="O113" s="17">
        <f t="shared" si="3"/>
        <v>512</v>
      </c>
      <c r="P113" s="13" t="s">
        <v>39</v>
      </c>
      <c r="Q113" s="13" t="s">
        <v>148</v>
      </c>
      <c r="R113" s="18">
        <f t="shared" si="4"/>
        <v>2.4</v>
      </c>
      <c r="S113" s="13" t="s">
        <v>138</v>
      </c>
      <c r="T113" s="19">
        <f t="shared" si="23"/>
        <v>16</v>
      </c>
      <c r="U113" s="13" t="s">
        <v>42</v>
      </c>
      <c r="V113" s="13" t="s">
        <v>198</v>
      </c>
      <c r="W113" s="12" t="s">
        <v>1068</v>
      </c>
      <c r="X113" s="20" t="s">
        <v>1069</v>
      </c>
      <c r="Y113" s="21" t="s">
        <v>1070</v>
      </c>
      <c r="Z113" s="12" t="s">
        <v>347</v>
      </c>
      <c r="AA113" s="22" t="s">
        <v>1071</v>
      </c>
      <c r="AB113" s="23" t="s">
        <v>1072</v>
      </c>
    </row>
    <row r="114">
      <c r="A114" s="12" t="s">
        <v>1073</v>
      </c>
      <c r="B114" s="13" t="s">
        <v>1074</v>
      </c>
      <c r="C114" s="13" t="s">
        <v>1065</v>
      </c>
      <c r="D114" s="14" t="s">
        <v>967</v>
      </c>
      <c r="E114" s="15">
        <f t="shared" si="1"/>
        <v>21999000</v>
      </c>
      <c r="F114" s="13" t="s">
        <v>32</v>
      </c>
      <c r="G114" s="13" t="s">
        <v>168</v>
      </c>
      <c r="H114" s="13" t="s">
        <v>135</v>
      </c>
      <c r="I114" s="13" t="s">
        <v>722</v>
      </c>
      <c r="J114" s="13" t="s">
        <v>34</v>
      </c>
      <c r="K114" s="13" t="s">
        <v>67</v>
      </c>
      <c r="L114" s="16">
        <f t="shared" si="2"/>
        <v>8</v>
      </c>
      <c r="M114" s="13" t="s">
        <v>54</v>
      </c>
      <c r="N114" s="13" t="s">
        <v>38</v>
      </c>
      <c r="O114" s="17">
        <f t="shared" si="3"/>
        <v>512</v>
      </c>
      <c r="P114" s="13" t="s">
        <v>39</v>
      </c>
      <c r="Q114" s="13" t="s">
        <v>1075</v>
      </c>
      <c r="R114" s="18">
        <f t="shared" si="4"/>
        <v>2.25</v>
      </c>
      <c r="S114" s="13" t="s">
        <v>113</v>
      </c>
      <c r="T114" s="19">
        <f t="shared" ref="T114:T115" si="24">VALUE(SUBSTITUTE(SUBSTITUTE(S114, " Inch", ""), ",", "."))</f>
        <v>15.6</v>
      </c>
      <c r="U114" s="13" t="s">
        <v>42</v>
      </c>
      <c r="V114" s="13" t="s">
        <v>1076</v>
      </c>
      <c r="W114" s="12" t="s">
        <v>1077</v>
      </c>
      <c r="X114" s="20" t="s">
        <v>1078</v>
      </c>
      <c r="Y114" s="21" t="s">
        <v>1079</v>
      </c>
      <c r="Z114" s="12" t="s">
        <v>1080</v>
      </c>
      <c r="AA114" s="22" t="s">
        <v>1081</v>
      </c>
      <c r="AB114" s="23" t="s">
        <v>1082</v>
      </c>
    </row>
    <row r="115">
      <c r="A115" s="12" t="s">
        <v>1083</v>
      </c>
      <c r="B115" s="13" t="s">
        <v>1074</v>
      </c>
      <c r="C115" s="13" t="s">
        <v>1065</v>
      </c>
      <c r="D115" s="14" t="s">
        <v>575</v>
      </c>
      <c r="E115" s="15">
        <f t="shared" si="1"/>
        <v>22699000</v>
      </c>
      <c r="F115" s="13" t="s">
        <v>32</v>
      </c>
      <c r="G115" s="13" t="s">
        <v>194</v>
      </c>
      <c r="H115" s="13" t="s">
        <v>135</v>
      </c>
      <c r="I115" s="13" t="s">
        <v>1084</v>
      </c>
      <c r="J115" s="13" t="s">
        <v>34</v>
      </c>
      <c r="K115" s="13" t="s">
        <v>36</v>
      </c>
      <c r="L115" s="16">
        <f t="shared" si="2"/>
        <v>16</v>
      </c>
      <c r="M115" s="13" t="s">
        <v>54</v>
      </c>
      <c r="N115" s="13" t="s">
        <v>38</v>
      </c>
      <c r="O115" s="17">
        <f t="shared" si="3"/>
        <v>512</v>
      </c>
      <c r="P115" s="13" t="s">
        <v>39</v>
      </c>
      <c r="Q115" s="13" t="s">
        <v>148</v>
      </c>
      <c r="R115" s="18">
        <f t="shared" si="4"/>
        <v>2.4</v>
      </c>
      <c r="S115" s="13" t="s">
        <v>113</v>
      </c>
      <c r="T115" s="19">
        <f t="shared" si="24"/>
        <v>15.6</v>
      </c>
      <c r="U115" s="13" t="s">
        <v>42</v>
      </c>
      <c r="V115" s="13" t="s">
        <v>1076</v>
      </c>
      <c r="W115" s="12" t="s">
        <v>1085</v>
      </c>
      <c r="X115" s="25" t="s">
        <v>1086</v>
      </c>
      <c r="Y115" s="21" t="s">
        <v>1087</v>
      </c>
      <c r="Z115" s="12" t="s">
        <v>1088</v>
      </c>
      <c r="AA115" s="22" t="s">
        <v>1089</v>
      </c>
      <c r="AB115" s="23" t="s">
        <v>1090</v>
      </c>
    </row>
    <row r="116">
      <c r="A116" s="12" t="s">
        <v>1091</v>
      </c>
      <c r="B116" s="13" t="s">
        <v>1092</v>
      </c>
      <c r="C116" s="13" t="s">
        <v>1065</v>
      </c>
      <c r="D116" s="14" t="s">
        <v>881</v>
      </c>
      <c r="E116" s="15">
        <f t="shared" si="1"/>
        <v>8449000</v>
      </c>
      <c r="F116" s="13" t="s">
        <v>32</v>
      </c>
      <c r="G116" s="13" t="s">
        <v>33</v>
      </c>
      <c r="H116" s="13" t="s">
        <v>34</v>
      </c>
      <c r="I116" s="13" t="s">
        <v>35</v>
      </c>
      <c r="J116" s="13" t="s">
        <v>34</v>
      </c>
      <c r="K116" s="13" t="s">
        <v>67</v>
      </c>
      <c r="L116" s="16">
        <f t="shared" si="2"/>
        <v>8</v>
      </c>
      <c r="M116" s="13" t="s">
        <v>79</v>
      </c>
      <c r="N116" s="13" t="s">
        <v>38</v>
      </c>
      <c r="O116" s="17">
        <f t="shared" si="3"/>
        <v>512</v>
      </c>
      <c r="P116" s="13" t="s">
        <v>39</v>
      </c>
      <c r="Q116" s="13" t="s">
        <v>55</v>
      </c>
      <c r="R116" s="18">
        <f t="shared" si="4"/>
        <v>1.5</v>
      </c>
      <c r="S116" s="13" t="s">
        <v>41</v>
      </c>
      <c r="T116" s="19">
        <f t="shared" ref="T116:T120" si="25">VALUE(SUBSTITUTE(S116, " Inch", ""))</f>
        <v>14</v>
      </c>
      <c r="U116" s="13" t="s">
        <v>42</v>
      </c>
      <c r="V116" s="13" t="s">
        <v>81</v>
      </c>
      <c r="W116" s="12" t="s">
        <v>1093</v>
      </c>
      <c r="X116" s="20" t="s">
        <v>1094</v>
      </c>
      <c r="Y116" s="21" t="s">
        <v>1095</v>
      </c>
      <c r="Z116" s="12" t="s">
        <v>238</v>
      </c>
      <c r="AA116" s="22" t="s">
        <v>73</v>
      </c>
      <c r="AB116" s="23" t="s">
        <v>1096</v>
      </c>
    </row>
    <row r="117">
      <c r="A117" s="12" t="s">
        <v>1097</v>
      </c>
      <c r="B117" s="13" t="s">
        <v>1098</v>
      </c>
      <c r="C117" s="13" t="s">
        <v>1065</v>
      </c>
      <c r="D117" s="14" t="s">
        <v>1099</v>
      </c>
      <c r="E117" s="15">
        <f t="shared" si="1"/>
        <v>25999000</v>
      </c>
      <c r="F117" s="13" t="s">
        <v>32</v>
      </c>
      <c r="G117" s="13" t="s">
        <v>123</v>
      </c>
      <c r="H117" s="13" t="s">
        <v>34</v>
      </c>
      <c r="I117" s="13" t="s">
        <v>1100</v>
      </c>
      <c r="J117" s="13" t="s">
        <v>34</v>
      </c>
      <c r="K117" s="13" t="s">
        <v>208</v>
      </c>
      <c r="L117" s="16">
        <f t="shared" si="2"/>
        <v>32</v>
      </c>
      <c r="M117" s="13" t="s">
        <v>209</v>
      </c>
      <c r="N117" s="13" t="s">
        <v>125</v>
      </c>
      <c r="O117" s="17">
        <f t="shared" si="3"/>
        <v>1024</v>
      </c>
      <c r="P117" s="13" t="s">
        <v>39</v>
      </c>
      <c r="Q117" s="13" t="s">
        <v>882</v>
      </c>
      <c r="R117" s="18">
        <f t="shared" si="4"/>
        <v>1.37</v>
      </c>
      <c r="S117" s="13" t="s">
        <v>41</v>
      </c>
      <c r="T117" s="19">
        <f t="shared" si="25"/>
        <v>14</v>
      </c>
      <c r="U117" s="13" t="s">
        <v>197</v>
      </c>
      <c r="V117" s="13" t="s">
        <v>43</v>
      </c>
      <c r="W117" s="12" t="s">
        <v>1101</v>
      </c>
      <c r="X117" s="20" t="s">
        <v>1102</v>
      </c>
      <c r="Y117" s="21" t="s">
        <v>1103</v>
      </c>
      <c r="Z117" s="12" t="s">
        <v>617</v>
      </c>
      <c r="AA117" s="22" t="s">
        <v>1104</v>
      </c>
      <c r="AB117" s="23" t="s">
        <v>1105</v>
      </c>
    </row>
    <row r="118">
      <c r="A118" s="12" t="s">
        <v>1106</v>
      </c>
      <c r="B118" s="13" t="s">
        <v>1107</v>
      </c>
      <c r="C118" s="13" t="s">
        <v>1065</v>
      </c>
      <c r="D118" s="14" t="s">
        <v>1108</v>
      </c>
      <c r="E118" s="15">
        <f t="shared" si="1"/>
        <v>42599000</v>
      </c>
      <c r="F118" s="13" t="s">
        <v>32</v>
      </c>
      <c r="G118" s="13" t="s">
        <v>683</v>
      </c>
      <c r="H118" s="13" t="s">
        <v>135</v>
      </c>
      <c r="I118" s="13" t="s">
        <v>353</v>
      </c>
      <c r="J118" s="13" t="s">
        <v>90</v>
      </c>
      <c r="K118" s="13" t="s">
        <v>208</v>
      </c>
      <c r="L118" s="16">
        <f t="shared" si="2"/>
        <v>32</v>
      </c>
      <c r="M118" s="13" t="s">
        <v>209</v>
      </c>
      <c r="N118" s="13" t="s">
        <v>125</v>
      </c>
      <c r="O118" s="17">
        <f t="shared" si="3"/>
        <v>1024</v>
      </c>
      <c r="P118" s="13" t="s">
        <v>39</v>
      </c>
      <c r="Q118" s="13" t="s">
        <v>159</v>
      </c>
      <c r="R118" s="18">
        <f t="shared" si="4"/>
        <v>2.1</v>
      </c>
      <c r="S118" s="13" t="s">
        <v>138</v>
      </c>
      <c r="T118" s="19">
        <f t="shared" si="25"/>
        <v>16</v>
      </c>
      <c r="U118" s="13" t="s">
        <v>197</v>
      </c>
      <c r="V118" s="13" t="s">
        <v>198</v>
      </c>
      <c r="W118" s="12" t="s">
        <v>1109</v>
      </c>
      <c r="X118" s="20" t="s">
        <v>1110</v>
      </c>
      <c r="Y118" s="21" t="s">
        <v>1111</v>
      </c>
      <c r="Z118" s="12" t="s">
        <v>1112</v>
      </c>
      <c r="AA118" s="22" t="s">
        <v>1113</v>
      </c>
      <c r="AB118" s="23" t="s">
        <v>1114</v>
      </c>
    </row>
    <row r="119">
      <c r="A119" s="12" t="s">
        <v>1115</v>
      </c>
      <c r="B119" s="13" t="s">
        <v>1116</v>
      </c>
      <c r="C119" s="13" t="s">
        <v>1065</v>
      </c>
      <c r="D119" s="14" t="s">
        <v>1117</v>
      </c>
      <c r="E119" s="15">
        <f t="shared" si="1"/>
        <v>40199000</v>
      </c>
      <c r="F119" s="13" t="s">
        <v>32</v>
      </c>
      <c r="G119" s="13" t="s">
        <v>394</v>
      </c>
      <c r="H119" s="13" t="s">
        <v>135</v>
      </c>
      <c r="I119" s="13" t="s">
        <v>395</v>
      </c>
      <c r="J119" s="13" t="s">
        <v>34</v>
      </c>
      <c r="K119" s="13" t="s">
        <v>36</v>
      </c>
      <c r="L119" s="16">
        <f t="shared" si="2"/>
        <v>16</v>
      </c>
      <c r="M119" s="13" t="s">
        <v>54</v>
      </c>
      <c r="N119" s="13" t="s">
        <v>125</v>
      </c>
      <c r="O119" s="17">
        <f t="shared" si="3"/>
        <v>1024</v>
      </c>
      <c r="P119" s="13" t="s">
        <v>39</v>
      </c>
      <c r="Q119" s="13" t="s">
        <v>1118</v>
      </c>
      <c r="R119" s="18">
        <f t="shared" si="4"/>
        <v>2.7</v>
      </c>
      <c r="S119" s="13" t="s">
        <v>138</v>
      </c>
      <c r="T119" s="19">
        <f t="shared" si="25"/>
        <v>16</v>
      </c>
      <c r="U119" s="13" t="s">
        <v>42</v>
      </c>
      <c r="V119" s="13" t="s">
        <v>198</v>
      </c>
      <c r="W119" s="12" t="s">
        <v>1119</v>
      </c>
      <c r="X119" s="20" t="s">
        <v>1120</v>
      </c>
      <c r="Y119" s="21" t="s">
        <v>1121</v>
      </c>
      <c r="Z119" s="12" t="s">
        <v>347</v>
      </c>
      <c r="AA119" s="22" t="s">
        <v>1122</v>
      </c>
      <c r="AB119" s="23" t="s">
        <v>1123</v>
      </c>
    </row>
    <row r="120">
      <c r="A120" s="12" t="s">
        <v>1124</v>
      </c>
      <c r="B120" s="13" t="s">
        <v>1125</v>
      </c>
      <c r="C120" s="13" t="s">
        <v>1065</v>
      </c>
      <c r="D120" s="14" t="s">
        <v>1126</v>
      </c>
      <c r="E120" s="15">
        <f t="shared" si="1"/>
        <v>13099000</v>
      </c>
      <c r="F120" s="13" t="s">
        <v>32</v>
      </c>
      <c r="G120" s="13" t="s">
        <v>52</v>
      </c>
      <c r="H120" s="13" t="s">
        <v>34</v>
      </c>
      <c r="I120" s="13" t="s">
        <v>53</v>
      </c>
      <c r="J120" s="13" t="s">
        <v>34</v>
      </c>
      <c r="K120" s="13" t="s">
        <v>36</v>
      </c>
      <c r="L120" s="16">
        <f t="shared" si="2"/>
        <v>16</v>
      </c>
      <c r="M120" s="13" t="s">
        <v>54</v>
      </c>
      <c r="N120" s="13" t="s">
        <v>125</v>
      </c>
      <c r="O120" s="17">
        <f t="shared" si="3"/>
        <v>1024</v>
      </c>
      <c r="P120" s="13" t="s">
        <v>39</v>
      </c>
      <c r="Q120" s="13" t="s">
        <v>1127</v>
      </c>
      <c r="R120" s="18">
        <f t="shared" si="4"/>
        <v>1.7</v>
      </c>
      <c r="S120" s="13" t="s">
        <v>41</v>
      </c>
      <c r="T120" s="19">
        <f t="shared" si="25"/>
        <v>14</v>
      </c>
      <c r="U120" s="13" t="s">
        <v>197</v>
      </c>
      <c r="V120" s="13" t="s">
        <v>211</v>
      </c>
      <c r="W120" s="12" t="s">
        <v>1128</v>
      </c>
      <c r="X120" s="20" t="s">
        <v>1129</v>
      </c>
      <c r="Y120" s="21" t="s">
        <v>1130</v>
      </c>
      <c r="Z120" s="12" t="s">
        <v>1131</v>
      </c>
      <c r="AA120" s="22" t="s">
        <v>1132</v>
      </c>
      <c r="AB120" s="23" t="s">
        <v>1133</v>
      </c>
    </row>
    <row r="121">
      <c r="A121" s="28"/>
      <c r="B121" s="29"/>
      <c r="C121" s="29"/>
      <c r="D121" s="30"/>
      <c r="E121" s="31"/>
      <c r="F121" s="29"/>
      <c r="G121" s="29"/>
      <c r="H121" s="29"/>
      <c r="I121" s="29"/>
      <c r="J121" s="29"/>
      <c r="K121" s="29"/>
      <c r="L121" s="32"/>
      <c r="M121" s="29"/>
      <c r="N121" s="29"/>
      <c r="O121" s="33"/>
      <c r="P121" s="29"/>
      <c r="Q121" s="29"/>
      <c r="R121" s="32"/>
      <c r="S121" s="29"/>
      <c r="T121" s="34"/>
      <c r="U121" s="29"/>
      <c r="V121" s="29"/>
      <c r="W121" s="28"/>
      <c r="X121" s="28"/>
      <c r="Y121" s="35"/>
      <c r="Z121" s="28"/>
      <c r="AA121" s="36"/>
      <c r="AB121" s="36"/>
    </row>
    <row r="122">
      <c r="A122" s="28"/>
      <c r="B122" s="29"/>
      <c r="C122" s="29"/>
      <c r="D122" s="30"/>
      <c r="E122" s="31"/>
      <c r="F122" s="29"/>
      <c r="G122" s="29"/>
      <c r="H122" s="29"/>
      <c r="I122" s="29"/>
      <c r="J122" s="29"/>
      <c r="K122" s="29"/>
      <c r="L122" s="32"/>
      <c r="M122" s="29"/>
      <c r="N122" s="29"/>
      <c r="O122" s="33"/>
      <c r="P122" s="29"/>
      <c r="Q122" s="29"/>
      <c r="R122" s="32"/>
      <c r="S122" s="29"/>
      <c r="T122" s="34"/>
      <c r="U122" s="29"/>
      <c r="V122" s="29"/>
      <c r="W122" s="28"/>
      <c r="X122" s="28"/>
      <c r="Y122" s="35"/>
      <c r="Z122" s="28"/>
      <c r="AA122" s="36"/>
      <c r="AB122" s="36"/>
    </row>
    <row r="123">
      <c r="A123" s="28"/>
      <c r="B123" s="29"/>
      <c r="C123" s="29"/>
      <c r="D123" s="30"/>
      <c r="E123" s="31"/>
      <c r="F123" s="29"/>
      <c r="G123" s="29"/>
      <c r="H123" s="29"/>
      <c r="I123" s="29"/>
      <c r="J123" s="29"/>
      <c r="K123" s="29"/>
      <c r="L123" s="32"/>
      <c r="M123" s="29"/>
      <c r="N123" s="29"/>
      <c r="O123" s="33"/>
      <c r="P123" s="29"/>
      <c r="Q123" s="29"/>
      <c r="R123" s="32"/>
      <c r="S123" s="29"/>
      <c r="T123" s="34"/>
      <c r="U123" s="29"/>
      <c r="V123" s="29"/>
      <c r="W123" s="28"/>
      <c r="X123" s="28"/>
      <c r="Y123" s="35"/>
      <c r="Z123" s="28"/>
      <c r="AA123" s="36"/>
      <c r="AB123" s="36"/>
    </row>
    <row r="124">
      <c r="A124" s="28"/>
      <c r="B124" s="29"/>
      <c r="C124" s="29"/>
      <c r="D124" s="30"/>
      <c r="E124" s="31"/>
      <c r="F124" s="29"/>
      <c r="G124" s="29"/>
      <c r="H124" s="29"/>
      <c r="I124" s="29"/>
      <c r="J124" s="29"/>
      <c r="K124" s="29"/>
      <c r="L124" s="32"/>
      <c r="M124" s="29"/>
      <c r="N124" s="29"/>
      <c r="O124" s="33"/>
      <c r="P124" s="29"/>
      <c r="Q124" s="29"/>
      <c r="R124" s="32"/>
      <c r="S124" s="29"/>
      <c r="T124" s="34"/>
      <c r="U124" s="29"/>
      <c r="V124" s="29"/>
      <c r="W124" s="28"/>
      <c r="X124" s="28"/>
      <c r="Y124" s="35"/>
      <c r="Z124" s="28"/>
      <c r="AA124" s="36"/>
      <c r="AB124" s="36"/>
    </row>
    <row r="125">
      <c r="A125" s="28"/>
      <c r="B125" s="29"/>
      <c r="C125" s="29"/>
      <c r="D125" s="30"/>
      <c r="E125" s="31"/>
      <c r="F125" s="29"/>
      <c r="G125" s="29"/>
      <c r="H125" s="29"/>
      <c r="I125" s="29"/>
      <c r="J125" s="29"/>
      <c r="K125" s="29"/>
      <c r="L125" s="32"/>
      <c r="M125" s="29"/>
      <c r="N125" s="29"/>
      <c r="O125" s="33"/>
      <c r="P125" s="29"/>
      <c r="Q125" s="29"/>
      <c r="R125" s="32"/>
      <c r="S125" s="29"/>
      <c r="T125" s="34"/>
      <c r="U125" s="29"/>
      <c r="V125" s="29"/>
      <c r="W125" s="28"/>
      <c r="X125" s="28"/>
      <c r="Y125" s="35"/>
      <c r="Z125" s="28"/>
      <c r="AA125" s="36"/>
      <c r="AB125" s="36"/>
    </row>
    <row r="126">
      <c r="A126" s="28"/>
      <c r="B126" s="29"/>
      <c r="C126" s="29"/>
      <c r="D126" s="30"/>
      <c r="E126" s="31"/>
      <c r="F126" s="29"/>
      <c r="G126" s="29"/>
      <c r="H126" s="29"/>
      <c r="I126" s="29"/>
      <c r="J126" s="29"/>
      <c r="K126" s="29"/>
      <c r="L126" s="32"/>
      <c r="M126" s="29"/>
      <c r="N126" s="29"/>
      <c r="O126" s="33"/>
      <c r="P126" s="29"/>
      <c r="Q126" s="29"/>
      <c r="R126" s="32"/>
      <c r="S126" s="29"/>
      <c r="T126" s="34"/>
      <c r="U126" s="29"/>
      <c r="V126" s="29"/>
      <c r="W126" s="28"/>
      <c r="X126" s="28"/>
      <c r="Y126" s="35"/>
      <c r="Z126" s="28"/>
      <c r="AA126" s="36"/>
      <c r="AB126" s="36"/>
    </row>
    <row r="127">
      <c r="A127" s="28"/>
      <c r="B127" s="29"/>
      <c r="C127" s="29"/>
      <c r="D127" s="30"/>
      <c r="E127" s="31"/>
      <c r="F127" s="29"/>
      <c r="G127" s="29"/>
      <c r="H127" s="29"/>
      <c r="I127" s="29"/>
      <c r="J127" s="29"/>
      <c r="K127" s="29"/>
      <c r="L127" s="32"/>
      <c r="M127" s="29"/>
      <c r="N127" s="29"/>
      <c r="O127" s="33"/>
      <c r="P127" s="29"/>
      <c r="Q127" s="29"/>
      <c r="R127" s="32"/>
      <c r="S127" s="29"/>
      <c r="T127" s="34"/>
      <c r="U127" s="29"/>
      <c r="V127" s="29"/>
      <c r="W127" s="28"/>
      <c r="X127" s="28"/>
      <c r="Y127" s="35"/>
      <c r="Z127" s="28"/>
      <c r="AA127" s="36"/>
      <c r="AB127" s="36"/>
    </row>
    <row r="128">
      <c r="A128" s="28"/>
      <c r="B128" s="29"/>
      <c r="C128" s="29"/>
      <c r="D128" s="30"/>
      <c r="E128" s="31"/>
      <c r="F128" s="29"/>
      <c r="G128" s="29"/>
      <c r="H128" s="29"/>
      <c r="I128" s="29"/>
      <c r="J128" s="29"/>
      <c r="K128" s="29"/>
      <c r="L128" s="32"/>
      <c r="M128" s="29"/>
      <c r="N128" s="29"/>
      <c r="O128" s="33"/>
      <c r="P128" s="29"/>
      <c r="Q128" s="29"/>
      <c r="R128" s="32"/>
      <c r="S128" s="29"/>
      <c r="T128" s="34"/>
      <c r="U128" s="29"/>
      <c r="V128" s="29"/>
      <c r="W128" s="28"/>
      <c r="X128" s="28"/>
      <c r="Y128" s="35"/>
      <c r="Z128" s="28"/>
      <c r="AA128" s="36"/>
      <c r="AB128" s="36"/>
    </row>
    <row r="129">
      <c r="A129" s="28"/>
      <c r="B129" s="29"/>
      <c r="C129" s="29"/>
      <c r="D129" s="30"/>
      <c r="E129" s="31"/>
      <c r="F129" s="29"/>
      <c r="G129" s="29"/>
      <c r="H129" s="29"/>
      <c r="I129" s="29"/>
      <c r="J129" s="29"/>
      <c r="K129" s="29"/>
      <c r="L129" s="32"/>
      <c r="M129" s="29"/>
      <c r="N129" s="29"/>
      <c r="O129" s="33"/>
      <c r="P129" s="29"/>
      <c r="Q129" s="29"/>
      <c r="R129" s="32"/>
      <c r="S129" s="29"/>
      <c r="T129" s="34"/>
      <c r="U129" s="29"/>
      <c r="V129" s="29"/>
      <c r="W129" s="28"/>
      <c r="X129" s="28"/>
      <c r="Y129" s="35"/>
      <c r="Z129" s="28"/>
      <c r="AA129" s="36"/>
      <c r="AB129" s="36"/>
    </row>
    <row r="130">
      <c r="A130" s="28"/>
      <c r="B130" s="29"/>
      <c r="C130" s="29"/>
      <c r="D130" s="30"/>
      <c r="E130" s="31"/>
      <c r="F130" s="29"/>
      <c r="G130" s="29"/>
      <c r="H130" s="29"/>
      <c r="I130" s="29"/>
      <c r="J130" s="29"/>
      <c r="K130" s="29"/>
      <c r="L130" s="32"/>
      <c r="M130" s="29"/>
      <c r="N130" s="29"/>
      <c r="O130" s="33"/>
      <c r="P130" s="29"/>
      <c r="Q130" s="29"/>
      <c r="R130" s="32"/>
      <c r="S130" s="29"/>
      <c r="T130" s="34"/>
      <c r="U130" s="29"/>
      <c r="V130" s="29"/>
      <c r="W130" s="28"/>
      <c r="X130" s="28"/>
      <c r="Y130" s="35"/>
      <c r="Z130" s="28"/>
      <c r="AA130" s="36"/>
      <c r="AB130" s="36"/>
    </row>
    <row r="131">
      <c r="A131" s="28"/>
      <c r="B131" s="29"/>
      <c r="C131" s="29"/>
      <c r="D131" s="30"/>
      <c r="E131" s="31"/>
      <c r="F131" s="29"/>
      <c r="G131" s="29"/>
      <c r="H131" s="29"/>
      <c r="I131" s="29"/>
      <c r="J131" s="29"/>
      <c r="K131" s="29"/>
      <c r="L131" s="32"/>
      <c r="M131" s="29"/>
      <c r="N131" s="29"/>
      <c r="O131" s="33"/>
      <c r="P131" s="29"/>
      <c r="Q131" s="29"/>
      <c r="R131" s="32"/>
      <c r="S131" s="29"/>
      <c r="T131" s="34"/>
      <c r="U131" s="29"/>
      <c r="V131" s="29"/>
      <c r="W131" s="28"/>
      <c r="X131" s="28"/>
      <c r="Y131" s="35"/>
      <c r="Z131" s="28"/>
      <c r="AA131" s="36"/>
      <c r="AB131" s="36"/>
    </row>
    <row r="132">
      <c r="A132" s="28"/>
      <c r="B132" s="29"/>
      <c r="C132" s="29"/>
      <c r="D132" s="30"/>
      <c r="E132" s="31"/>
      <c r="F132" s="29"/>
      <c r="G132" s="29"/>
      <c r="H132" s="29"/>
      <c r="I132" s="29"/>
      <c r="J132" s="29"/>
      <c r="K132" s="29"/>
      <c r="L132" s="32"/>
      <c r="M132" s="29"/>
      <c r="N132" s="29"/>
      <c r="O132" s="33"/>
      <c r="P132" s="29"/>
      <c r="Q132" s="29"/>
      <c r="R132" s="32"/>
      <c r="S132" s="29"/>
      <c r="T132" s="34"/>
      <c r="U132" s="29"/>
      <c r="V132" s="29"/>
      <c r="W132" s="28"/>
      <c r="X132" s="28"/>
      <c r="Y132" s="35"/>
      <c r="Z132" s="28"/>
      <c r="AA132" s="36"/>
      <c r="AB132" s="36"/>
    </row>
    <row r="133">
      <c r="A133" s="28"/>
      <c r="B133" s="29"/>
      <c r="C133" s="29"/>
      <c r="D133" s="30"/>
      <c r="E133" s="31"/>
      <c r="F133" s="29"/>
      <c r="G133" s="29"/>
      <c r="H133" s="29"/>
      <c r="I133" s="29"/>
      <c r="J133" s="29"/>
      <c r="K133" s="29"/>
      <c r="L133" s="32"/>
      <c r="M133" s="29"/>
      <c r="N133" s="29"/>
      <c r="O133" s="33"/>
      <c r="P133" s="29"/>
      <c r="Q133" s="29"/>
      <c r="R133" s="32"/>
      <c r="S133" s="29"/>
      <c r="T133" s="34"/>
      <c r="U133" s="29"/>
      <c r="V133" s="29"/>
      <c r="W133" s="28"/>
      <c r="X133" s="28"/>
      <c r="Y133" s="35"/>
      <c r="Z133" s="28"/>
      <c r="AA133" s="36"/>
      <c r="AB133" s="36"/>
    </row>
    <row r="134">
      <c r="A134" s="28"/>
      <c r="B134" s="29"/>
      <c r="C134" s="29"/>
      <c r="D134" s="30"/>
      <c r="E134" s="31"/>
      <c r="F134" s="29"/>
      <c r="G134" s="29"/>
      <c r="H134" s="29"/>
      <c r="I134" s="29"/>
      <c r="J134" s="29"/>
      <c r="K134" s="29"/>
      <c r="L134" s="32"/>
      <c r="M134" s="29"/>
      <c r="N134" s="29"/>
      <c r="O134" s="33"/>
      <c r="P134" s="29"/>
      <c r="Q134" s="29"/>
      <c r="R134" s="32"/>
      <c r="S134" s="29"/>
      <c r="T134" s="34"/>
      <c r="U134" s="29"/>
      <c r="V134" s="29"/>
      <c r="W134" s="28"/>
      <c r="X134" s="28"/>
      <c r="Y134" s="35"/>
      <c r="Z134" s="28"/>
      <c r="AA134" s="36"/>
      <c r="AB134" s="36"/>
    </row>
    <row r="135">
      <c r="A135" s="28"/>
      <c r="B135" s="29"/>
      <c r="C135" s="29"/>
      <c r="D135" s="30"/>
      <c r="E135" s="31"/>
      <c r="F135" s="29"/>
      <c r="G135" s="29"/>
      <c r="H135" s="29"/>
      <c r="I135" s="29"/>
      <c r="J135" s="29"/>
      <c r="K135" s="29"/>
      <c r="L135" s="32"/>
      <c r="M135" s="29"/>
      <c r="N135" s="29"/>
      <c r="O135" s="33"/>
      <c r="P135" s="29"/>
      <c r="Q135" s="29"/>
      <c r="R135" s="32"/>
      <c r="S135" s="29"/>
      <c r="T135" s="34"/>
      <c r="U135" s="29"/>
      <c r="V135" s="29"/>
      <c r="W135" s="28"/>
      <c r="X135" s="28"/>
      <c r="Y135" s="35"/>
      <c r="Z135" s="28"/>
      <c r="AA135" s="36"/>
      <c r="AB135" s="36"/>
    </row>
    <row r="136">
      <c r="A136" s="28"/>
      <c r="B136" s="29"/>
      <c r="C136" s="29"/>
      <c r="D136" s="30"/>
      <c r="E136" s="31"/>
      <c r="F136" s="29"/>
      <c r="G136" s="29"/>
      <c r="H136" s="29"/>
      <c r="I136" s="29"/>
      <c r="J136" s="29"/>
      <c r="K136" s="29"/>
      <c r="L136" s="32"/>
      <c r="M136" s="29"/>
      <c r="N136" s="29"/>
      <c r="O136" s="33"/>
      <c r="P136" s="29"/>
      <c r="Q136" s="29"/>
      <c r="R136" s="32"/>
      <c r="S136" s="29"/>
      <c r="T136" s="34"/>
      <c r="U136" s="29"/>
      <c r="V136" s="29"/>
      <c r="W136" s="28"/>
      <c r="X136" s="28"/>
      <c r="Y136" s="35"/>
      <c r="Z136" s="28"/>
      <c r="AA136" s="36"/>
      <c r="AB136" s="36"/>
    </row>
    <row r="137">
      <c r="A137" s="28"/>
      <c r="B137" s="29"/>
      <c r="C137" s="29"/>
      <c r="D137" s="30"/>
      <c r="E137" s="31"/>
      <c r="F137" s="29"/>
      <c r="G137" s="29"/>
      <c r="H137" s="29"/>
      <c r="I137" s="29"/>
      <c r="J137" s="29"/>
      <c r="K137" s="29"/>
      <c r="L137" s="32"/>
      <c r="M137" s="29"/>
      <c r="N137" s="29"/>
      <c r="O137" s="33"/>
      <c r="P137" s="29"/>
      <c r="Q137" s="29"/>
      <c r="R137" s="32"/>
      <c r="S137" s="29"/>
      <c r="T137" s="34"/>
      <c r="U137" s="29"/>
      <c r="V137" s="29"/>
      <c r="W137" s="28"/>
      <c r="X137" s="28"/>
      <c r="Y137" s="35"/>
      <c r="Z137" s="28"/>
      <c r="AA137" s="36"/>
      <c r="AB137" s="36"/>
    </row>
    <row r="138">
      <c r="A138" s="28"/>
      <c r="B138" s="29"/>
      <c r="C138" s="29"/>
      <c r="D138" s="30"/>
      <c r="E138" s="31"/>
      <c r="F138" s="29"/>
      <c r="G138" s="29"/>
      <c r="H138" s="29"/>
      <c r="I138" s="29"/>
      <c r="J138" s="29"/>
      <c r="K138" s="29"/>
      <c r="L138" s="32"/>
      <c r="M138" s="29"/>
      <c r="N138" s="29"/>
      <c r="O138" s="33"/>
      <c r="P138" s="29"/>
      <c r="Q138" s="29"/>
      <c r="R138" s="32"/>
      <c r="S138" s="29"/>
      <c r="T138" s="34"/>
      <c r="U138" s="29"/>
      <c r="V138" s="29"/>
      <c r="W138" s="28"/>
      <c r="X138" s="28"/>
      <c r="Y138" s="35"/>
      <c r="Z138" s="28"/>
      <c r="AA138" s="36"/>
      <c r="AB138" s="36"/>
    </row>
    <row r="139">
      <c r="A139" s="28"/>
      <c r="B139" s="29"/>
      <c r="C139" s="29"/>
      <c r="D139" s="30"/>
      <c r="E139" s="31"/>
      <c r="F139" s="29"/>
      <c r="G139" s="29"/>
      <c r="H139" s="29"/>
      <c r="I139" s="29"/>
      <c r="J139" s="29"/>
      <c r="K139" s="29"/>
      <c r="L139" s="32"/>
      <c r="M139" s="29"/>
      <c r="N139" s="29"/>
      <c r="O139" s="33"/>
      <c r="P139" s="29"/>
      <c r="Q139" s="29"/>
      <c r="R139" s="32"/>
      <c r="S139" s="29"/>
      <c r="T139" s="34"/>
      <c r="U139" s="29"/>
      <c r="V139" s="29"/>
      <c r="W139" s="28"/>
      <c r="X139" s="28"/>
      <c r="Y139" s="35"/>
      <c r="Z139" s="28"/>
      <c r="AA139" s="36"/>
      <c r="AB139" s="36"/>
    </row>
    <row r="140">
      <c r="A140" s="28"/>
      <c r="B140" s="29"/>
      <c r="C140" s="29"/>
      <c r="D140" s="30"/>
      <c r="E140" s="31"/>
      <c r="F140" s="29"/>
      <c r="G140" s="29"/>
      <c r="H140" s="29"/>
      <c r="I140" s="29"/>
      <c r="J140" s="29"/>
      <c r="K140" s="29"/>
      <c r="L140" s="32"/>
      <c r="M140" s="29"/>
      <c r="N140" s="29"/>
      <c r="O140" s="33"/>
      <c r="P140" s="29"/>
      <c r="Q140" s="29"/>
      <c r="R140" s="32"/>
      <c r="S140" s="29"/>
      <c r="T140" s="34"/>
      <c r="U140" s="29"/>
      <c r="V140" s="29"/>
      <c r="W140" s="28"/>
      <c r="X140" s="28"/>
      <c r="Y140" s="35"/>
      <c r="Z140" s="28"/>
      <c r="AA140" s="36"/>
      <c r="AB140" s="36"/>
    </row>
    <row r="141">
      <c r="A141" s="28"/>
      <c r="B141" s="29"/>
      <c r="C141" s="29"/>
      <c r="D141" s="30"/>
      <c r="E141" s="31"/>
      <c r="F141" s="29"/>
      <c r="G141" s="29"/>
      <c r="H141" s="29"/>
      <c r="I141" s="29"/>
      <c r="J141" s="29"/>
      <c r="K141" s="29"/>
      <c r="L141" s="32"/>
      <c r="M141" s="29"/>
      <c r="N141" s="29"/>
      <c r="O141" s="33"/>
      <c r="P141" s="29"/>
      <c r="Q141" s="29"/>
      <c r="R141" s="32"/>
      <c r="S141" s="29"/>
      <c r="T141" s="34"/>
      <c r="U141" s="29"/>
      <c r="V141" s="29"/>
      <c r="W141" s="28"/>
      <c r="X141" s="28"/>
      <c r="Y141" s="35"/>
      <c r="Z141" s="28"/>
      <c r="AA141" s="36"/>
      <c r="AB141" s="36"/>
    </row>
    <row r="142">
      <c r="A142" s="28"/>
      <c r="B142" s="29"/>
      <c r="C142" s="29"/>
      <c r="D142" s="30"/>
      <c r="E142" s="31"/>
      <c r="F142" s="29"/>
      <c r="G142" s="29"/>
      <c r="H142" s="29"/>
      <c r="I142" s="29"/>
      <c r="J142" s="29"/>
      <c r="K142" s="29"/>
      <c r="L142" s="32"/>
      <c r="M142" s="29"/>
      <c r="N142" s="29"/>
      <c r="O142" s="33"/>
      <c r="P142" s="29"/>
      <c r="Q142" s="29"/>
      <c r="R142" s="32"/>
      <c r="S142" s="29"/>
      <c r="T142" s="34"/>
      <c r="U142" s="29"/>
      <c r="V142" s="29"/>
      <c r="W142" s="28"/>
      <c r="X142" s="28"/>
      <c r="Y142" s="35"/>
      <c r="Z142" s="28"/>
      <c r="AA142" s="36"/>
      <c r="AB142" s="36"/>
    </row>
    <row r="143">
      <c r="A143" s="28"/>
      <c r="B143" s="29"/>
      <c r="C143" s="29"/>
      <c r="D143" s="30"/>
      <c r="E143" s="31"/>
      <c r="F143" s="29"/>
      <c r="G143" s="29"/>
      <c r="H143" s="29"/>
      <c r="I143" s="29"/>
      <c r="J143" s="29"/>
      <c r="K143" s="29"/>
      <c r="L143" s="32"/>
      <c r="M143" s="29"/>
      <c r="N143" s="29"/>
      <c r="O143" s="33"/>
      <c r="P143" s="29"/>
      <c r="Q143" s="29"/>
      <c r="R143" s="32"/>
      <c r="S143" s="29"/>
      <c r="T143" s="34"/>
      <c r="U143" s="29"/>
      <c r="V143" s="29"/>
      <c r="W143" s="28"/>
      <c r="X143" s="28"/>
      <c r="Y143" s="35"/>
      <c r="Z143" s="28"/>
      <c r="AA143" s="36"/>
      <c r="AB143" s="36"/>
    </row>
    <row r="144">
      <c r="A144" s="28"/>
      <c r="B144" s="29"/>
      <c r="C144" s="29"/>
      <c r="D144" s="30"/>
      <c r="E144" s="31"/>
      <c r="F144" s="29"/>
      <c r="G144" s="29"/>
      <c r="H144" s="29"/>
      <c r="I144" s="29"/>
      <c r="J144" s="29"/>
      <c r="K144" s="29"/>
      <c r="L144" s="32"/>
      <c r="M144" s="29"/>
      <c r="N144" s="29"/>
      <c r="O144" s="33"/>
      <c r="P144" s="29"/>
      <c r="Q144" s="29"/>
      <c r="R144" s="32"/>
      <c r="S144" s="29"/>
      <c r="T144" s="34"/>
      <c r="U144" s="29"/>
      <c r="V144" s="29"/>
      <c r="W144" s="28"/>
      <c r="X144" s="28"/>
      <c r="Y144" s="35"/>
      <c r="Z144" s="28"/>
      <c r="AA144" s="36"/>
      <c r="AB144" s="36"/>
    </row>
    <row r="145">
      <c r="A145" s="28"/>
      <c r="B145" s="29"/>
      <c r="C145" s="29"/>
      <c r="D145" s="30"/>
      <c r="E145" s="31"/>
      <c r="F145" s="29"/>
      <c r="G145" s="29"/>
      <c r="H145" s="29"/>
      <c r="I145" s="29"/>
      <c r="J145" s="29"/>
      <c r="K145" s="29"/>
      <c r="L145" s="32"/>
      <c r="M145" s="29"/>
      <c r="N145" s="29"/>
      <c r="O145" s="33"/>
      <c r="P145" s="29"/>
      <c r="Q145" s="29"/>
      <c r="R145" s="32"/>
      <c r="S145" s="29"/>
      <c r="T145" s="34"/>
      <c r="U145" s="29"/>
      <c r="V145" s="29"/>
      <c r="W145" s="28"/>
      <c r="X145" s="28"/>
      <c r="Y145" s="35"/>
      <c r="Z145" s="28"/>
      <c r="AA145" s="36"/>
      <c r="AB145" s="36"/>
    </row>
    <row r="146">
      <c r="A146" s="28"/>
      <c r="B146" s="29"/>
      <c r="C146" s="29"/>
      <c r="D146" s="30"/>
      <c r="E146" s="31"/>
      <c r="F146" s="29"/>
      <c r="G146" s="29"/>
      <c r="H146" s="29"/>
      <c r="I146" s="29"/>
      <c r="J146" s="29"/>
      <c r="K146" s="29"/>
      <c r="L146" s="32"/>
      <c r="M146" s="29"/>
      <c r="N146" s="29"/>
      <c r="O146" s="33"/>
      <c r="P146" s="29"/>
      <c r="Q146" s="29"/>
      <c r="R146" s="32"/>
      <c r="S146" s="29"/>
      <c r="T146" s="34"/>
      <c r="U146" s="29"/>
      <c r="V146" s="29"/>
      <c r="W146" s="28"/>
      <c r="X146" s="28"/>
      <c r="Y146" s="35"/>
      <c r="Z146" s="28"/>
      <c r="AA146" s="36"/>
      <c r="AB146" s="36"/>
    </row>
    <row r="147">
      <c r="A147" s="28"/>
      <c r="B147" s="29"/>
      <c r="C147" s="29"/>
      <c r="D147" s="30"/>
      <c r="E147" s="31"/>
      <c r="F147" s="29"/>
      <c r="G147" s="29"/>
      <c r="H147" s="29"/>
      <c r="I147" s="29"/>
      <c r="J147" s="29"/>
      <c r="K147" s="29"/>
      <c r="L147" s="32"/>
      <c r="M147" s="29"/>
      <c r="N147" s="29"/>
      <c r="O147" s="33"/>
      <c r="P147" s="29"/>
      <c r="Q147" s="29"/>
      <c r="R147" s="32"/>
      <c r="S147" s="29"/>
      <c r="T147" s="34"/>
      <c r="U147" s="29"/>
      <c r="V147" s="29"/>
      <c r="W147" s="28"/>
      <c r="X147" s="28"/>
      <c r="Y147" s="35"/>
      <c r="Z147" s="28"/>
      <c r="AA147" s="36"/>
      <c r="AB147" s="36"/>
    </row>
    <row r="148">
      <c r="A148" s="28"/>
      <c r="B148" s="29"/>
      <c r="C148" s="29"/>
      <c r="D148" s="30"/>
      <c r="E148" s="31"/>
      <c r="F148" s="29"/>
      <c r="G148" s="29"/>
      <c r="H148" s="29"/>
      <c r="I148" s="29"/>
      <c r="J148" s="29"/>
      <c r="K148" s="29"/>
      <c r="L148" s="32"/>
      <c r="M148" s="29"/>
      <c r="N148" s="29"/>
      <c r="O148" s="33"/>
      <c r="P148" s="29"/>
      <c r="Q148" s="29"/>
      <c r="R148" s="32"/>
      <c r="S148" s="29"/>
      <c r="T148" s="34"/>
      <c r="U148" s="29"/>
      <c r="V148" s="29"/>
      <c r="W148" s="28"/>
      <c r="X148" s="28"/>
      <c r="Y148" s="35"/>
      <c r="Z148" s="28"/>
      <c r="AA148" s="36"/>
      <c r="AB148" s="36"/>
    </row>
    <row r="149">
      <c r="A149" s="28"/>
      <c r="B149" s="29"/>
      <c r="C149" s="29"/>
      <c r="D149" s="30"/>
      <c r="E149" s="31"/>
      <c r="F149" s="29"/>
      <c r="G149" s="29"/>
      <c r="H149" s="29"/>
      <c r="I149" s="29"/>
      <c r="J149" s="29"/>
      <c r="K149" s="29"/>
      <c r="L149" s="32"/>
      <c r="M149" s="29"/>
      <c r="N149" s="29"/>
      <c r="O149" s="33"/>
      <c r="P149" s="29"/>
      <c r="Q149" s="29"/>
      <c r="R149" s="32"/>
      <c r="S149" s="29"/>
      <c r="T149" s="34"/>
      <c r="U149" s="29"/>
      <c r="V149" s="29"/>
      <c r="W149" s="28"/>
      <c r="X149" s="28"/>
      <c r="Y149" s="35"/>
      <c r="Z149" s="28"/>
      <c r="AA149" s="36"/>
      <c r="AB149" s="36"/>
    </row>
    <row r="150">
      <c r="A150" s="28"/>
      <c r="B150" s="29"/>
      <c r="C150" s="29"/>
      <c r="D150" s="30"/>
      <c r="E150" s="31"/>
      <c r="F150" s="29"/>
      <c r="G150" s="29"/>
      <c r="H150" s="29"/>
      <c r="I150" s="29"/>
      <c r="J150" s="29"/>
      <c r="K150" s="29"/>
      <c r="L150" s="32"/>
      <c r="M150" s="29"/>
      <c r="N150" s="29"/>
      <c r="O150" s="33"/>
      <c r="P150" s="29"/>
      <c r="Q150" s="29"/>
      <c r="R150" s="32"/>
      <c r="S150" s="29"/>
      <c r="T150" s="34"/>
      <c r="U150" s="29"/>
      <c r="V150" s="29"/>
      <c r="W150" s="28"/>
      <c r="X150" s="28"/>
      <c r="Y150" s="35"/>
      <c r="Z150" s="28"/>
      <c r="AA150" s="36"/>
      <c r="AB150" s="36"/>
    </row>
    <row r="151">
      <c r="A151" s="28"/>
      <c r="B151" s="29"/>
      <c r="C151" s="29"/>
      <c r="D151" s="30"/>
      <c r="E151" s="31"/>
      <c r="F151" s="29"/>
      <c r="G151" s="29"/>
      <c r="H151" s="29"/>
      <c r="I151" s="29"/>
      <c r="J151" s="29"/>
      <c r="K151" s="29"/>
      <c r="L151" s="32"/>
      <c r="M151" s="29"/>
      <c r="N151" s="29"/>
      <c r="O151" s="33"/>
      <c r="P151" s="29"/>
      <c r="Q151" s="29"/>
      <c r="R151" s="32"/>
      <c r="S151" s="29"/>
      <c r="T151" s="34"/>
      <c r="U151" s="29"/>
      <c r="V151" s="29"/>
      <c r="W151" s="28"/>
      <c r="X151" s="28"/>
      <c r="Y151" s="35"/>
      <c r="Z151" s="28"/>
      <c r="AA151" s="36"/>
      <c r="AB151" s="36"/>
    </row>
    <row r="152">
      <c r="A152" s="28"/>
      <c r="B152" s="29"/>
      <c r="C152" s="29"/>
      <c r="D152" s="30"/>
      <c r="E152" s="31"/>
      <c r="F152" s="29"/>
      <c r="G152" s="29"/>
      <c r="H152" s="29"/>
      <c r="I152" s="29"/>
      <c r="J152" s="29"/>
      <c r="K152" s="29"/>
      <c r="L152" s="32"/>
      <c r="M152" s="29"/>
      <c r="N152" s="29"/>
      <c r="O152" s="33"/>
      <c r="P152" s="29"/>
      <c r="Q152" s="29"/>
      <c r="R152" s="32"/>
      <c r="S152" s="29"/>
      <c r="T152" s="34"/>
      <c r="U152" s="29"/>
      <c r="V152" s="29"/>
      <c r="W152" s="28"/>
      <c r="X152" s="28"/>
      <c r="Y152" s="35"/>
      <c r="Z152" s="28"/>
      <c r="AA152" s="36"/>
      <c r="AB152" s="36"/>
    </row>
    <row r="153">
      <c r="A153" s="28"/>
      <c r="B153" s="29"/>
      <c r="C153" s="29"/>
      <c r="D153" s="30"/>
      <c r="E153" s="31"/>
      <c r="F153" s="29"/>
      <c r="G153" s="29"/>
      <c r="H153" s="29"/>
      <c r="I153" s="29"/>
      <c r="J153" s="29"/>
      <c r="K153" s="29"/>
      <c r="L153" s="32"/>
      <c r="M153" s="29"/>
      <c r="N153" s="29"/>
      <c r="O153" s="33"/>
      <c r="P153" s="29"/>
      <c r="Q153" s="29"/>
      <c r="R153" s="32"/>
      <c r="S153" s="29"/>
      <c r="T153" s="34"/>
      <c r="U153" s="29"/>
      <c r="V153" s="29"/>
      <c r="W153" s="28"/>
      <c r="X153" s="28"/>
      <c r="Y153" s="35"/>
      <c r="Z153" s="28"/>
      <c r="AA153" s="36"/>
      <c r="AB153" s="36"/>
    </row>
    <row r="154">
      <c r="A154" s="28"/>
      <c r="B154" s="29"/>
      <c r="C154" s="29"/>
      <c r="D154" s="30"/>
      <c r="E154" s="31"/>
      <c r="F154" s="29"/>
      <c r="G154" s="29"/>
      <c r="H154" s="29"/>
      <c r="I154" s="29"/>
      <c r="J154" s="29"/>
      <c r="K154" s="29"/>
      <c r="L154" s="32"/>
      <c r="M154" s="29"/>
      <c r="N154" s="29"/>
      <c r="O154" s="33"/>
      <c r="P154" s="29"/>
      <c r="Q154" s="29"/>
      <c r="R154" s="32"/>
      <c r="S154" s="29"/>
      <c r="T154" s="34"/>
      <c r="U154" s="29"/>
      <c r="V154" s="29"/>
      <c r="W154" s="28"/>
      <c r="X154" s="28"/>
      <c r="Y154" s="35"/>
      <c r="Z154" s="28"/>
      <c r="AA154" s="36"/>
      <c r="AB154" s="36"/>
    </row>
    <row r="155">
      <c r="A155" s="28"/>
      <c r="B155" s="29"/>
      <c r="C155" s="29"/>
      <c r="D155" s="30"/>
      <c r="E155" s="31"/>
      <c r="F155" s="29"/>
      <c r="G155" s="29"/>
      <c r="H155" s="29"/>
      <c r="I155" s="29"/>
      <c r="J155" s="29"/>
      <c r="K155" s="29"/>
      <c r="L155" s="32"/>
      <c r="M155" s="29"/>
      <c r="N155" s="29"/>
      <c r="O155" s="33"/>
      <c r="P155" s="29"/>
      <c r="Q155" s="29"/>
      <c r="R155" s="32"/>
      <c r="S155" s="29"/>
      <c r="T155" s="34"/>
      <c r="U155" s="29"/>
      <c r="V155" s="29"/>
      <c r="W155" s="28"/>
      <c r="X155" s="28"/>
      <c r="Y155" s="35"/>
      <c r="Z155" s="28"/>
      <c r="AA155" s="36"/>
      <c r="AB155" s="36"/>
    </row>
    <row r="156">
      <c r="A156" s="28"/>
      <c r="B156" s="29"/>
      <c r="C156" s="29"/>
      <c r="D156" s="30"/>
      <c r="E156" s="31"/>
      <c r="F156" s="29"/>
      <c r="G156" s="29"/>
      <c r="H156" s="29"/>
      <c r="I156" s="29"/>
      <c r="J156" s="29"/>
      <c r="K156" s="29"/>
      <c r="L156" s="32"/>
      <c r="M156" s="29"/>
      <c r="N156" s="29"/>
      <c r="O156" s="33"/>
      <c r="P156" s="29"/>
      <c r="Q156" s="29"/>
      <c r="R156" s="32"/>
      <c r="S156" s="29"/>
      <c r="T156" s="34"/>
      <c r="U156" s="29"/>
      <c r="V156" s="29"/>
      <c r="W156" s="28"/>
      <c r="X156" s="28"/>
      <c r="Y156" s="35"/>
      <c r="Z156" s="28"/>
      <c r="AA156" s="36"/>
      <c r="AB156" s="36"/>
    </row>
    <row r="157">
      <c r="A157" s="28"/>
      <c r="B157" s="29"/>
      <c r="C157" s="29"/>
      <c r="D157" s="30"/>
      <c r="E157" s="31"/>
      <c r="F157" s="29"/>
      <c r="G157" s="29"/>
      <c r="H157" s="29"/>
      <c r="I157" s="29"/>
      <c r="J157" s="29"/>
      <c r="K157" s="29"/>
      <c r="L157" s="32"/>
      <c r="M157" s="29"/>
      <c r="N157" s="29"/>
      <c r="O157" s="33"/>
      <c r="P157" s="29"/>
      <c r="Q157" s="29"/>
      <c r="R157" s="32"/>
      <c r="S157" s="29"/>
      <c r="T157" s="34"/>
      <c r="U157" s="29"/>
      <c r="V157" s="29"/>
      <c r="W157" s="28"/>
      <c r="X157" s="28"/>
      <c r="Y157" s="35"/>
      <c r="Z157" s="28"/>
      <c r="AA157" s="36"/>
      <c r="AB157" s="36"/>
    </row>
    <row r="158">
      <c r="A158" s="28"/>
      <c r="B158" s="29"/>
      <c r="C158" s="29"/>
      <c r="D158" s="30"/>
      <c r="E158" s="31"/>
      <c r="F158" s="29"/>
      <c r="G158" s="29"/>
      <c r="H158" s="29"/>
      <c r="I158" s="29"/>
      <c r="J158" s="29"/>
      <c r="K158" s="29"/>
      <c r="L158" s="32"/>
      <c r="M158" s="29"/>
      <c r="N158" s="29"/>
      <c r="O158" s="33"/>
      <c r="P158" s="29"/>
      <c r="Q158" s="29"/>
      <c r="R158" s="32"/>
      <c r="S158" s="29"/>
      <c r="T158" s="34"/>
      <c r="U158" s="29"/>
      <c r="V158" s="29"/>
      <c r="W158" s="28"/>
      <c r="X158" s="28"/>
      <c r="Y158" s="35"/>
      <c r="Z158" s="28"/>
      <c r="AA158" s="36"/>
      <c r="AB158" s="36"/>
    </row>
    <row r="159">
      <c r="A159" s="28"/>
      <c r="B159" s="29"/>
      <c r="C159" s="29"/>
      <c r="D159" s="30"/>
      <c r="E159" s="31"/>
      <c r="F159" s="29"/>
      <c r="G159" s="29"/>
      <c r="H159" s="29"/>
      <c r="I159" s="29"/>
      <c r="J159" s="29"/>
      <c r="K159" s="29"/>
      <c r="L159" s="32"/>
      <c r="M159" s="29"/>
      <c r="N159" s="29"/>
      <c r="O159" s="33"/>
      <c r="P159" s="29"/>
      <c r="Q159" s="29"/>
      <c r="R159" s="32"/>
      <c r="S159" s="29"/>
      <c r="T159" s="34"/>
      <c r="U159" s="29"/>
      <c r="V159" s="29"/>
      <c r="W159" s="28"/>
      <c r="X159" s="28"/>
      <c r="Y159" s="35"/>
      <c r="Z159" s="28"/>
      <c r="AA159" s="36"/>
      <c r="AB159" s="36"/>
    </row>
    <row r="160">
      <c r="A160" s="28"/>
      <c r="B160" s="29"/>
      <c r="C160" s="29"/>
      <c r="D160" s="30"/>
      <c r="E160" s="31"/>
      <c r="F160" s="29"/>
      <c r="G160" s="29"/>
      <c r="H160" s="29"/>
      <c r="I160" s="29"/>
      <c r="J160" s="29"/>
      <c r="K160" s="29"/>
      <c r="L160" s="32"/>
      <c r="M160" s="29"/>
      <c r="N160" s="29"/>
      <c r="O160" s="33"/>
      <c r="P160" s="29"/>
      <c r="Q160" s="29"/>
      <c r="R160" s="32"/>
      <c r="S160" s="29"/>
      <c r="T160" s="34"/>
      <c r="U160" s="29"/>
      <c r="V160" s="29"/>
      <c r="W160" s="28"/>
      <c r="X160" s="28"/>
      <c r="Y160" s="35"/>
      <c r="Z160" s="28"/>
      <c r="AA160" s="36"/>
      <c r="AB160" s="36"/>
    </row>
    <row r="161">
      <c r="A161" s="28"/>
      <c r="B161" s="29"/>
      <c r="C161" s="29"/>
      <c r="D161" s="30"/>
      <c r="E161" s="31"/>
      <c r="F161" s="29"/>
      <c r="G161" s="29"/>
      <c r="H161" s="29"/>
      <c r="I161" s="29"/>
      <c r="J161" s="29"/>
      <c r="K161" s="29"/>
      <c r="L161" s="32"/>
      <c r="M161" s="29"/>
      <c r="N161" s="29"/>
      <c r="O161" s="33"/>
      <c r="P161" s="29"/>
      <c r="Q161" s="29"/>
      <c r="R161" s="32"/>
      <c r="S161" s="29"/>
      <c r="T161" s="34"/>
      <c r="U161" s="29"/>
      <c r="V161" s="29"/>
      <c r="W161" s="28"/>
      <c r="X161" s="28"/>
      <c r="Y161" s="35"/>
      <c r="Z161" s="28"/>
      <c r="AA161" s="36"/>
      <c r="AB161" s="36"/>
    </row>
    <row r="162">
      <c r="A162" s="28"/>
      <c r="B162" s="29"/>
      <c r="C162" s="29"/>
      <c r="D162" s="30"/>
      <c r="E162" s="31"/>
      <c r="F162" s="29"/>
      <c r="G162" s="29"/>
      <c r="H162" s="29"/>
      <c r="I162" s="29"/>
      <c r="J162" s="29"/>
      <c r="K162" s="29"/>
      <c r="L162" s="32"/>
      <c r="M162" s="29"/>
      <c r="N162" s="29"/>
      <c r="O162" s="33"/>
      <c r="P162" s="29"/>
      <c r="Q162" s="29"/>
      <c r="R162" s="32"/>
      <c r="S162" s="29"/>
      <c r="T162" s="34"/>
      <c r="U162" s="29"/>
      <c r="V162" s="29"/>
      <c r="W162" s="28"/>
      <c r="X162" s="28"/>
      <c r="Y162" s="35"/>
      <c r="Z162" s="28"/>
      <c r="AA162" s="36"/>
      <c r="AB162" s="36"/>
    </row>
    <row r="163">
      <c r="A163" s="28"/>
      <c r="B163" s="29"/>
      <c r="C163" s="29"/>
      <c r="D163" s="30"/>
      <c r="E163" s="31"/>
      <c r="F163" s="29"/>
      <c r="G163" s="29"/>
      <c r="H163" s="29"/>
      <c r="I163" s="29"/>
      <c r="J163" s="29"/>
      <c r="K163" s="29"/>
      <c r="L163" s="32"/>
      <c r="M163" s="29"/>
      <c r="N163" s="29"/>
      <c r="O163" s="33"/>
      <c r="P163" s="29"/>
      <c r="Q163" s="29"/>
      <c r="R163" s="32"/>
      <c r="S163" s="29"/>
      <c r="T163" s="34"/>
      <c r="U163" s="29"/>
      <c r="V163" s="29"/>
      <c r="W163" s="28"/>
      <c r="X163" s="28"/>
      <c r="Y163" s="35"/>
      <c r="Z163" s="28"/>
      <c r="AA163" s="36"/>
      <c r="AB163" s="36"/>
    </row>
    <row r="164">
      <c r="A164" s="28"/>
      <c r="B164" s="29"/>
      <c r="C164" s="29"/>
      <c r="D164" s="30"/>
      <c r="E164" s="31"/>
      <c r="F164" s="29"/>
      <c r="G164" s="29"/>
      <c r="H164" s="29"/>
      <c r="I164" s="29"/>
      <c r="J164" s="29"/>
      <c r="K164" s="29"/>
      <c r="L164" s="32"/>
      <c r="M164" s="29"/>
      <c r="N164" s="29"/>
      <c r="O164" s="33"/>
      <c r="P164" s="29"/>
      <c r="Q164" s="29"/>
      <c r="R164" s="32"/>
      <c r="S164" s="29"/>
      <c r="T164" s="34"/>
      <c r="U164" s="29"/>
      <c r="V164" s="29"/>
      <c r="W164" s="28"/>
      <c r="X164" s="28"/>
      <c r="Y164" s="35"/>
      <c r="Z164" s="28"/>
      <c r="AA164" s="36"/>
      <c r="AB164" s="36"/>
    </row>
    <row r="165">
      <c r="A165" s="28"/>
      <c r="B165" s="29"/>
      <c r="C165" s="29"/>
      <c r="D165" s="30"/>
      <c r="E165" s="31"/>
      <c r="F165" s="29"/>
      <c r="G165" s="29"/>
      <c r="H165" s="29"/>
      <c r="I165" s="29"/>
      <c r="J165" s="29"/>
      <c r="K165" s="29"/>
      <c r="L165" s="32"/>
      <c r="M165" s="29"/>
      <c r="N165" s="29"/>
      <c r="O165" s="33"/>
      <c r="P165" s="29"/>
      <c r="Q165" s="29"/>
      <c r="R165" s="32"/>
      <c r="S165" s="29"/>
      <c r="T165" s="34"/>
      <c r="U165" s="29"/>
      <c r="V165" s="29"/>
      <c r="W165" s="28"/>
      <c r="X165" s="28"/>
      <c r="Y165" s="35"/>
      <c r="Z165" s="28"/>
      <c r="AA165" s="36"/>
      <c r="AB165" s="36"/>
    </row>
    <row r="166">
      <c r="A166" s="28"/>
      <c r="B166" s="29"/>
      <c r="C166" s="29"/>
      <c r="D166" s="30"/>
      <c r="E166" s="31"/>
      <c r="F166" s="29"/>
      <c r="G166" s="29"/>
      <c r="H166" s="29"/>
      <c r="I166" s="29"/>
      <c r="J166" s="29"/>
      <c r="K166" s="29"/>
      <c r="L166" s="32"/>
      <c r="M166" s="29"/>
      <c r="N166" s="29"/>
      <c r="O166" s="33"/>
      <c r="P166" s="29"/>
      <c r="Q166" s="29"/>
      <c r="R166" s="32"/>
      <c r="S166" s="29"/>
      <c r="T166" s="34"/>
      <c r="U166" s="29"/>
      <c r="V166" s="29"/>
      <c r="W166" s="28"/>
      <c r="X166" s="28"/>
      <c r="Y166" s="35"/>
      <c r="Z166" s="28"/>
      <c r="AA166" s="36"/>
      <c r="AB166" s="36"/>
    </row>
    <row r="167">
      <c r="A167" s="28"/>
      <c r="B167" s="29"/>
      <c r="C167" s="29"/>
      <c r="D167" s="30"/>
      <c r="E167" s="31"/>
      <c r="F167" s="29"/>
      <c r="G167" s="29"/>
      <c r="H167" s="29"/>
      <c r="I167" s="29"/>
      <c r="J167" s="29"/>
      <c r="K167" s="29"/>
      <c r="L167" s="32"/>
      <c r="M167" s="29"/>
      <c r="N167" s="29"/>
      <c r="O167" s="33"/>
      <c r="P167" s="29"/>
      <c r="Q167" s="29"/>
      <c r="R167" s="32"/>
      <c r="S167" s="29"/>
      <c r="T167" s="34"/>
      <c r="U167" s="29"/>
      <c r="V167" s="29"/>
      <c r="W167" s="28"/>
      <c r="X167" s="28"/>
      <c r="Y167" s="35"/>
      <c r="Z167" s="28"/>
      <c r="AA167" s="36"/>
      <c r="AB167" s="36"/>
    </row>
    <row r="168">
      <c r="A168" s="28"/>
      <c r="B168" s="29"/>
      <c r="C168" s="29"/>
      <c r="D168" s="30"/>
      <c r="E168" s="31"/>
      <c r="F168" s="29"/>
      <c r="G168" s="29"/>
      <c r="H168" s="29"/>
      <c r="I168" s="29"/>
      <c r="J168" s="29"/>
      <c r="K168" s="29"/>
      <c r="L168" s="32"/>
      <c r="M168" s="29"/>
      <c r="N168" s="29"/>
      <c r="O168" s="33"/>
      <c r="P168" s="29"/>
      <c r="Q168" s="29"/>
      <c r="R168" s="32"/>
      <c r="S168" s="29"/>
      <c r="T168" s="34"/>
      <c r="U168" s="29"/>
      <c r="V168" s="29"/>
      <c r="W168" s="28"/>
      <c r="X168" s="28"/>
      <c r="Y168" s="35"/>
      <c r="Z168" s="28"/>
      <c r="AA168" s="36"/>
      <c r="AB168" s="36"/>
    </row>
    <row r="169">
      <c r="A169" s="28"/>
      <c r="B169" s="29"/>
      <c r="C169" s="29"/>
      <c r="D169" s="30"/>
      <c r="E169" s="31"/>
      <c r="F169" s="29"/>
      <c r="G169" s="29"/>
      <c r="H169" s="29"/>
      <c r="I169" s="29"/>
      <c r="J169" s="29"/>
      <c r="K169" s="29"/>
      <c r="L169" s="32"/>
      <c r="M169" s="29"/>
      <c r="N169" s="29"/>
      <c r="O169" s="33"/>
      <c r="P169" s="29"/>
      <c r="Q169" s="29"/>
      <c r="R169" s="32"/>
      <c r="S169" s="29"/>
      <c r="T169" s="34"/>
      <c r="U169" s="29"/>
      <c r="V169" s="29"/>
      <c r="W169" s="28"/>
      <c r="X169" s="28"/>
      <c r="Y169" s="35"/>
      <c r="Z169" s="28"/>
      <c r="AA169" s="36"/>
      <c r="AB169" s="36"/>
    </row>
    <row r="170">
      <c r="A170" s="28"/>
      <c r="B170" s="29"/>
      <c r="C170" s="29"/>
      <c r="D170" s="30"/>
      <c r="E170" s="31"/>
      <c r="F170" s="29"/>
      <c r="G170" s="29"/>
      <c r="H170" s="29"/>
      <c r="I170" s="29"/>
      <c r="J170" s="29"/>
      <c r="K170" s="29"/>
      <c r="L170" s="32"/>
      <c r="M170" s="29"/>
      <c r="N170" s="29"/>
      <c r="O170" s="33"/>
      <c r="P170" s="29"/>
      <c r="Q170" s="29"/>
      <c r="R170" s="32"/>
      <c r="S170" s="29"/>
      <c r="T170" s="34"/>
      <c r="U170" s="29"/>
      <c r="V170" s="29"/>
      <c r="W170" s="28"/>
      <c r="X170" s="28"/>
      <c r="Y170" s="35"/>
      <c r="Z170" s="28"/>
      <c r="AA170" s="36"/>
      <c r="AB170" s="36"/>
    </row>
    <row r="171">
      <c r="A171" s="28"/>
      <c r="B171" s="29"/>
      <c r="C171" s="29"/>
      <c r="D171" s="30"/>
      <c r="E171" s="31"/>
      <c r="F171" s="29"/>
      <c r="G171" s="29"/>
      <c r="H171" s="29"/>
      <c r="I171" s="29"/>
      <c r="J171" s="29"/>
      <c r="K171" s="29"/>
      <c r="L171" s="32"/>
      <c r="M171" s="29"/>
      <c r="N171" s="29"/>
      <c r="O171" s="33"/>
      <c r="P171" s="29"/>
      <c r="Q171" s="29"/>
      <c r="R171" s="32"/>
      <c r="S171" s="29"/>
      <c r="T171" s="34"/>
      <c r="U171" s="29"/>
      <c r="V171" s="29"/>
      <c r="W171" s="28"/>
      <c r="X171" s="28"/>
      <c r="Y171" s="35"/>
      <c r="Z171" s="28"/>
      <c r="AA171" s="36"/>
      <c r="AB171" s="36"/>
    </row>
    <row r="172">
      <c r="A172" s="28"/>
      <c r="B172" s="29"/>
      <c r="C172" s="29"/>
      <c r="D172" s="30"/>
      <c r="E172" s="31"/>
      <c r="F172" s="29"/>
      <c r="G172" s="29"/>
      <c r="H172" s="29"/>
      <c r="I172" s="29"/>
      <c r="J172" s="29"/>
      <c r="K172" s="29"/>
      <c r="L172" s="32"/>
      <c r="M172" s="29"/>
      <c r="N172" s="29"/>
      <c r="O172" s="33"/>
      <c r="P172" s="29"/>
      <c r="Q172" s="29"/>
      <c r="R172" s="32"/>
      <c r="S172" s="29"/>
      <c r="T172" s="34"/>
      <c r="U172" s="29"/>
      <c r="V172" s="29"/>
      <c r="W172" s="28"/>
      <c r="X172" s="28"/>
      <c r="Y172" s="35"/>
      <c r="Z172" s="28"/>
      <c r="AA172" s="36"/>
      <c r="AB172" s="36"/>
    </row>
    <row r="173">
      <c r="A173" s="28"/>
      <c r="B173" s="29"/>
      <c r="C173" s="29"/>
      <c r="D173" s="30"/>
      <c r="E173" s="31"/>
      <c r="F173" s="29"/>
      <c r="G173" s="29"/>
      <c r="H173" s="29"/>
      <c r="I173" s="29"/>
      <c r="J173" s="29"/>
      <c r="K173" s="29"/>
      <c r="L173" s="32"/>
      <c r="M173" s="29"/>
      <c r="N173" s="29"/>
      <c r="O173" s="33"/>
      <c r="P173" s="29"/>
      <c r="Q173" s="29"/>
      <c r="R173" s="32"/>
      <c r="S173" s="29"/>
      <c r="T173" s="34"/>
      <c r="U173" s="29"/>
      <c r="V173" s="29"/>
      <c r="W173" s="28"/>
      <c r="X173" s="28"/>
      <c r="Y173" s="35"/>
      <c r="Z173" s="28"/>
      <c r="AA173" s="36"/>
      <c r="AB173" s="36"/>
    </row>
    <row r="174">
      <c r="A174" s="28"/>
      <c r="B174" s="29"/>
      <c r="C174" s="29"/>
      <c r="D174" s="30"/>
      <c r="E174" s="31"/>
      <c r="F174" s="29"/>
      <c r="G174" s="29"/>
      <c r="H174" s="29"/>
      <c r="I174" s="29"/>
      <c r="J174" s="29"/>
      <c r="K174" s="29"/>
      <c r="L174" s="32"/>
      <c r="M174" s="29"/>
      <c r="N174" s="29"/>
      <c r="O174" s="33"/>
      <c r="P174" s="29"/>
      <c r="Q174" s="29"/>
      <c r="R174" s="32"/>
      <c r="S174" s="29"/>
      <c r="T174" s="34"/>
      <c r="U174" s="29"/>
      <c r="V174" s="29"/>
      <c r="W174" s="28"/>
      <c r="X174" s="28"/>
      <c r="Y174" s="35"/>
      <c r="Z174" s="28"/>
      <c r="AA174" s="36"/>
      <c r="AB174" s="36"/>
    </row>
    <row r="175">
      <c r="A175" s="28"/>
      <c r="B175" s="29"/>
      <c r="C175" s="29"/>
      <c r="D175" s="30"/>
      <c r="E175" s="31"/>
      <c r="F175" s="29"/>
      <c r="G175" s="29"/>
      <c r="H175" s="29"/>
      <c r="I175" s="29"/>
      <c r="J175" s="29"/>
      <c r="K175" s="29"/>
      <c r="L175" s="32"/>
      <c r="M175" s="29"/>
      <c r="N175" s="29"/>
      <c r="O175" s="33"/>
      <c r="P175" s="29"/>
      <c r="Q175" s="29"/>
      <c r="R175" s="32"/>
      <c r="S175" s="29"/>
      <c r="T175" s="34"/>
      <c r="U175" s="29"/>
      <c r="V175" s="29"/>
      <c r="W175" s="28"/>
      <c r="X175" s="28"/>
      <c r="Y175" s="35"/>
      <c r="Z175" s="28"/>
      <c r="AA175" s="36"/>
      <c r="AB175" s="36"/>
    </row>
    <row r="176">
      <c r="A176" s="28"/>
      <c r="B176" s="29"/>
      <c r="C176" s="29"/>
      <c r="D176" s="30"/>
      <c r="E176" s="31"/>
      <c r="F176" s="29"/>
      <c r="G176" s="29"/>
      <c r="H176" s="29"/>
      <c r="I176" s="29"/>
      <c r="J176" s="29"/>
      <c r="K176" s="29"/>
      <c r="L176" s="32"/>
      <c r="M176" s="29"/>
      <c r="N176" s="29"/>
      <c r="O176" s="33"/>
      <c r="P176" s="29"/>
      <c r="Q176" s="29"/>
      <c r="R176" s="32"/>
      <c r="S176" s="29"/>
      <c r="T176" s="34"/>
      <c r="U176" s="29"/>
      <c r="V176" s="29"/>
      <c r="W176" s="28"/>
      <c r="X176" s="28"/>
      <c r="Y176" s="35"/>
      <c r="Z176" s="28"/>
      <c r="AA176" s="36"/>
      <c r="AB176" s="36"/>
    </row>
    <row r="177">
      <c r="A177" s="28"/>
      <c r="B177" s="29"/>
      <c r="C177" s="29"/>
      <c r="D177" s="30"/>
      <c r="E177" s="31"/>
      <c r="F177" s="29"/>
      <c r="G177" s="29"/>
      <c r="H177" s="29"/>
      <c r="I177" s="29"/>
      <c r="J177" s="29"/>
      <c r="K177" s="29"/>
      <c r="L177" s="32"/>
      <c r="M177" s="29"/>
      <c r="N177" s="29"/>
      <c r="O177" s="33"/>
      <c r="P177" s="29"/>
      <c r="Q177" s="29"/>
      <c r="R177" s="32"/>
      <c r="S177" s="29"/>
      <c r="T177" s="34"/>
      <c r="U177" s="29"/>
      <c r="V177" s="29"/>
      <c r="W177" s="28"/>
      <c r="X177" s="28"/>
      <c r="Y177" s="35"/>
      <c r="Z177" s="28"/>
      <c r="AA177" s="36"/>
      <c r="AB177" s="36"/>
    </row>
    <row r="178">
      <c r="A178" s="28"/>
      <c r="B178" s="29"/>
      <c r="C178" s="29"/>
      <c r="D178" s="30"/>
      <c r="E178" s="31"/>
      <c r="F178" s="29"/>
      <c r="G178" s="29"/>
      <c r="H178" s="29"/>
      <c r="I178" s="29"/>
      <c r="J178" s="29"/>
      <c r="K178" s="29"/>
      <c r="L178" s="32"/>
      <c r="M178" s="29"/>
      <c r="N178" s="29"/>
      <c r="O178" s="33"/>
      <c r="P178" s="29"/>
      <c r="Q178" s="29"/>
      <c r="R178" s="32"/>
      <c r="S178" s="29"/>
      <c r="T178" s="34"/>
      <c r="U178" s="29"/>
      <c r="V178" s="29"/>
      <c r="W178" s="28"/>
      <c r="X178" s="28"/>
      <c r="Y178" s="35"/>
      <c r="Z178" s="28"/>
      <c r="AA178" s="36"/>
      <c r="AB178" s="36"/>
    </row>
    <row r="179">
      <c r="A179" s="28"/>
      <c r="B179" s="29"/>
      <c r="C179" s="29"/>
      <c r="D179" s="30"/>
      <c r="E179" s="31"/>
      <c r="F179" s="29"/>
      <c r="G179" s="29"/>
      <c r="H179" s="29"/>
      <c r="I179" s="29"/>
      <c r="J179" s="29"/>
      <c r="K179" s="29"/>
      <c r="L179" s="32"/>
      <c r="M179" s="29"/>
      <c r="N179" s="29"/>
      <c r="O179" s="33"/>
      <c r="P179" s="29"/>
      <c r="Q179" s="29"/>
      <c r="R179" s="32"/>
      <c r="S179" s="29"/>
      <c r="T179" s="34"/>
      <c r="U179" s="29"/>
      <c r="V179" s="29"/>
      <c r="W179" s="28"/>
      <c r="X179" s="28"/>
      <c r="Y179" s="35"/>
      <c r="Z179" s="28"/>
      <c r="AA179" s="36"/>
      <c r="AB179" s="36"/>
    </row>
    <row r="180">
      <c r="A180" s="28"/>
      <c r="B180" s="29"/>
      <c r="C180" s="29"/>
      <c r="D180" s="30"/>
      <c r="E180" s="31"/>
      <c r="F180" s="29"/>
      <c r="G180" s="29"/>
      <c r="H180" s="29"/>
      <c r="I180" s="29"/>
      <c r="J180" s="29"/>
      <c r="K180" s="29"/>
      <c r="L180" s="32"/>
      <c r="M180" s="29"/>
      <c r="N180" s="29"/>
      <c r="O180" s="33"/>
      <c r="P180" s="29"/>
      <c r="Q180" s="29"/>
      <c r="R180" s="32"/>
      <c r="S180" s="29"/>
      <c r="T180" s="34"/>
      <c r="U180" s="29"/>
      <c r="V180" s="29"/>
      <c r="W180" s="28"/>
      <c r="X180" s="28"/>
      <c r="Y180" s="35"/>
      <c r="Z180" s="28"/>
      <c r="AA180" s="36"/>
      <c r="AB180" s="36"/>
    </row>
    <row r="181">
      <c r="A181" s="28"/>
      <c r="B181" s="29"/>
      <c r="C181" s="29"/>
      <c r="D181" s="30"/>
      <c r="E181" s="31"/>
      <c r="F181" s="29"/>
      <c r="G181" s="29"/>
      <c r="H181" s="29"/>
      <c r="I181" s="29"/>
      <c r="J181" s="29"/>
      <c r="K181" s="29"/>
      <c r="L181" s="32"/>
      <c r="M181" s="29"/>
      <c r="N181" s="29"/>
      <c r="O181" s="33"/>
      <c r="P181" s="29"/>
      <c r="Q181" s="29"/>
      <c r="R181" s="32"/>
      <c r="S181" s="29"/>
      <c r="T181" s="34"/>
      <c r="U181" s="29"/>
      <c r="V181" s="29"/>
      <c r="W181" s="28"/>
      <c r="X181" s="28"/>
      <c r="Y181" s="35"/>
      <c r="Z181" s="28"/>
      <c r="AA181" s="36"/>
      <c r="AB181" s="36"/>
    </row>
    <row r="182">
      <c r="A182" s="28"/>
      <c r="B182" s="29"/>
      <c r="C182" s="29"/>
      <c r="D182" s="30"/>
      <c r="E182" s="31"/>
      <c r="F182" s="29"/>
      <c r="G182" s="29"/>
      <c r="H182" s="29"/>
      <c r="I182" s="29"/>
      <c r="J182" s="29"/>
      <c r="K182" s="29"/>
      <c r="L182" s="32"/>
      <c r="M182" s="29"/>
      <c r="N182" s="29"/>
      <c r="O182" s="33"/>
      <c r="P182" s="29"/>
      <c r="Q182" s="29"/>
      <c r="R182" s="32"/>
      <c r="S182" s="29"/>
      <c r="T182" s="34"/>
      <c r="U182" s="29"/>
      <c r="V182" s="29"/>
      <c r="W182" s="28"/>
      <c r="X182" s="28"/>
      <c r="Y182" s="35"/>
      <c r="Z182" s="28"/>
      <c r="AA182" s="36"/>
      <c r="AB182" s="36"/>
    </row>
    <row r="183">
      <c r="A183" s="28"/>
      <c r="B183" s="29"/>
      <c r="C183" s="29"/>
      <c r="D183" s="30"/>
      <c r="E183" s="31"/>
      <c r="F183" s="29"/>
      <c r="G183" s="29"/>
      <c r="H183" s="29"/>
      <c r="I183" s="29"/>
      <c r="J183" s="29"/>
      <c r="K183" s="29"/>
      <c r="L183" s="32"/>
      <c r="M183" s="29"/>
      <c r="N183" s="29"/>
      <c r="O183" s="33"/>
      <c r="P183" s="29"/>
      <c r="Q183" s="29"/>
      <c r="R183" s="32"/>
      <c r="S183" s="29"/>
      <c r="T183" s="34"/>
      <c r="U183" s="29"/>
      <c r="V183" s="29"/>
      <c r="W183" s="28"/>
      <c r="X183" s="28"/>
      <c r="Y183" s="35"/>
      <c r="Z183" s="28"/>
      <c r="AA183" s="36"/>
      <c r="AB183" s="36"/>
    </row>
    <row r="184">
      <c r="A184" s="28"/>
      <c r="B184" s="29"/>
      <c r="C184" s="29"/>
      <c r="D184" s="30"/>
      <c r="E184" s="31"/>
      <c r="F184" s="29"/>
      <c r="G184" s="29"/>
      <c r="H184" s="29"/>
      <c r="I184" s="29"/>
      <c r="J184" s="29"/>
      <c r="K184" s="29"/>
      <c r="L184" s="32"/>
      <c r="M184" s="29"/>
      <c r="N184" s="29"/>
      <c r="O184" s="33"/>
      <c r="P184" s="29"/>
      <c r="Q184" s="29"/>
      <c r="R184" s="32"/>
      <c r="S184" s="29"/>
      <c r="T184" s="34"/>
      <c r="U184" s="29"/>
      <c r="V184" s="29"/>
      <c r="W184" s="28"/>
      <c r="X184" s="28"/>
      <c r="Y184" s="35"/>
      <c r="Z184" s="28"/>
      <c r="AA184" s="36"/>
      <c r="AB184" s="36"/>
    </row>
    <row r="185">
      <c r="A185" s="28"/>
      <c r="B185" s="29"/>
      <c r="C185" s="29"/>
      <c r="D185" s="30"/>
      <c r="E185" s="31"/>
      <c r="F185" s="29"/>
      <c r="G185" s="29"/>
      <c r="H185" s="29"/>
      <c r="I185" s="29"/>
      <c r="J185" s="29"/>
      <c r="K185" s="29"/>
      <c r="L185" s="32"/>
      <c r="M185" s="29"/>
      <c r="N185" s="29"/>
      <c r="O185" s="33"/>
      <c r="P185" s="29"/>
      <c r="Q185" s="29"/>
      <c r="R185" s="32"/>
      <c r="S185" s="29"/>
      <c r="T185" s="34"/>
      <c r="U185" s="29"/>
      <c r="V185" s="29"/>
      <c r="W185" s="28"/>
      <c r="X185" s="28"/>
      <c r="Y185" s="35"/>
      <c r="Z185" s="28"/>
      <c r="AA185" s="36"/>
      <c r="AB185" s="36"/>
    </row>
    <row r="186">
      <c r="A186" s="28"/>
      <c r="B186" s="29"/>
      <c r="C186" s="29"/>
      <c r="D186" s="30"/>
      <c r="E186" s="31"/>
      <c r="F186" s="29"/>
      <c r="G186" s="29"/>
      <c r="H186" s="29"/>
      <c r="I186" s="29"/>
      <c r="J186" s="29"/>
      <c r="K186" s="29"/>
      <c r="L186" s="32"/>
      <c r="M186" s="29"/>
      <c r="N186" s="29"/>
      <c r="O186" s="33"/>
      <c r="P186" s="29"/>
      <c r="Q186" s="29"/>
      <c r="R186" s="32"/>
      <c r="S186" s="29"/>
      <c r="T186" s="34"/>
      <c r="U186" s="29"/>
      <c r="V186" s="29"/>
      <c r="W186" s="28"/>
      <c r="X186" s="28"/>
      <c r="Y186" s="35"/>
      <c r="Z186" s="28"/>
      <c r="AA186" s="36"/>
      <c r="AB186" s="36"/>
    </row>
    <row r="187">
      <c r="A187" s="28"/>
      <c r="B187" s="29"/>
      <c r="C187" s="29"/>
      <c r="D187" s="30"/>
      <c r="E187" s="31"/>
      <c r="F187" s="29"/>
      <c r="G187" s="29"/>
      <c r="H187" s="29"/>
      <c r="I187" s="29"/>
      <c r="J187" s="29"/>
      <c r="K187" s="29"/>
      <c r="L187" s="32"/>
      <c r="M187" s="29"/>
      <c r="N187" s="29"/>
      <c r="O187" s="33"/>
      <c r="P187" s="29"/>
      <c r="Q187" s="29"/>
      <c r="R187" s="32"/>
      <c r="S187" s="29"/>
      <c r="T187" s="34"/>
      <c r="U187" s="29"/>
      <c r="V187" s="29"/>
      <c r="W187" s="28"/>
      <c r="X187" s="28"/>
      <c r="Y187" s="35"/>
      <c r="Z187" s="28"/>
      <c r="AA187" s="36"/>
      <c r="AB187" s="36"/>
    </row>
    <row r="188">
      <c r="A188" s="28"/>
      <c r="B188" s="29"/>
      <c r="C188" s="29"/>
      <c r="D188" s="30"/>
      <c r="E188" s="31"/>
      <c r="F188" s="29"/>
      <c r="G188" s="29"/>
      <c r="H188" s="29"/>
      <c r="I188" s="29"/>
      <c r="J188" s="29"/>
      <c r="K188" s="29"/>
      <c r="L188" s="32"/>
      <c r="M188" s="29"/>
      <c r="N188" s="29"/>
      <c r="O188" s="33"/>
      <c r="P188" s="29"/>
      <c r="Q188" s="29"/>
      <c r="R188" s="32"/>
      <c r="S188" s="29"/>
      <c r="T188" s="34"/>
      <c r="U188" s="29"/>
      <c r="V188" s="29"/>
      <c r="W188" s="28"/>
      <c r="X188" s="28"/>
      <c r="Y188" s="35"/>
      <c r="Z188" s="28"/>
      <c r="AA188" s="36"/>
      <c r="AB188" s="36"/>
    </row>
    <row r="189">
      <c r="A189" s="28"/>
      <c r="B189" s="29"/>
      <c r="C189" s="29"/>
      <c r="D189" s="30"/>
      <c r="E189" s="31"/>
      <c r="F189" s="29"/>
      <c r="G189" s="29"/>
      <c r="H189" s="29"/>
      <c r="I189" s="29"/>
      <c r="J189" s="29"/>
      <c r="K189" s="29"/>
      <c r="L189" s="32"/>
      <c r="M189" s="29"/>
      <c r="N189" s="29"/>
      <c r="O189" s="33"/>
      <c r="P189" s="29"/>
      <c r="Q189" s="29"/>
      <c r="R189" s="32"/>
      <c r="S189" s="29"/>
      <c r="T189" s="34"/>
      <c r="U189" s="29"/>
      <c r="V189" s="29"/>
      <c r="W189" s="28"/>
      <c r="X189" s="28"/>
      <c r="Y189" s="35"/>
      <c r="Z189" s="28"/>
      <c r="AA189" s="36"/>
      <c r="AB189" s="36"/>
    </row>
    <row r="190">
      <c r="A190" s="28"/>
      <c r="B190" s="29"/>
      <c r="C190" s="29"/>
      <c r="D190" s="30"/>
      <c r="E190" s="31"/>
      <c r="F190" s="29"/>
      <c r="G190" s="29"/>
      <c r="H190" s="29"/>
      <c r="I190" s="29"/>
      <c r="J190" s="29"/>
      <c r="K190" s="29"/>
      <c r="L190" s="32"/>
      <c r="M190" s="29"/>
      <c r="N190" s="29"/>
      <c r="O190" s="33"/>
      <c r="P190" s="29"/>
      <c r="Q190" s="29"/>
      <c r="R190" s="32"/>
      <c r="S190" s="29"/>
      <c r="T190" s="34"/>
      <c r="U190" s="29"/>
      <c r="V190" s="29"/>
      <c r="W190" s="28"/>
      <c r="X190" s="28"/>
      <c r="Y190" s="35"/>
      <c r="Z190" s="28"/>
      <c r="AA190" s="36"/>
      <c r="AB190" s="36"/>
    </row>
    <row r="191">
      <c r="A191" s="28"/>
      <c r="B191" s="29"/>
      <c r="C191" s="29"/>
      <c r="D191" s="30"/>
      <c r="E191" s="31"/>
      <c r="F191" s="29"/>
      <c r="G191" s="29"/>
      <c r="H191" s="29"/>
      <c r="I191" s="29"/>
      <c r="J191" s="29"/>
      <c r="K191" s="29"/>
      <c r="L191" s="32"/>
      <c r="M191" s="29"/>
      <c r="N191" s="29"/>
      <c r="O191" s="33"/>
      <c r="P191" s="29"/>
      <c r="Q191" s="29"/>
      <c r="R191" s="32"/>
      <c r="S191" s="29"/>
      <c r="T191" s="34"/>
      <c r="U191" s="29"/>
      <c r="V191" s="29"/>
      <c r="W191" s="28"/>
      <c r="X191" s="28"/>
      <c r="Y191" s="35"/>
      <c r="Z191" s="28"/>
      <c r="AA191" s="36"/>
      <c r="AB191" s="36"/>
    </row>
    <row r="192">
      <c r="A192" s="28"/>
      <c r="B192" s="29"/>
      <c r="C192" s="29"/>
      <c r="D192" s="30"/>
      <c r="E192" s="31"/>
      <c r="F192" s="29"/>
      <c r="G192" s="29"/>
      <c r="H192" s="29"/>
      <c r="I192" s="29"/>
      <c r="J192" s="29"/>
      <c r="K192" s="29"/>
      <c r="L192" s="32"/>
      <c r="M192" s="29"/>
      <c r="N192" s="29"/>
      <c r="O192" s="33"/>
      <c r="P192" s="29"/>
      <c r="Q192" s="29"/>
      <c r="R192" s="32"/>
      <c r="S192" s="29"/>
      <c r="T192" s="34"/>
      <c r="U192" s="29"/>
      <c r="V192" s="29"/>
      <c r="W192" s="28"/>
      <c r="X192" s="28"/>
      <c r="Y192" s="35"/>
      <c r="Z192" s="28"/>
      <c r="AA192" s="36"/>
      <c r="AB192" s="36"/>
    </row>
    <row r="193">
      <c r="A193" s="28"/>
      <c r="B193" s="29"/>
      <c r="C193" s="29"/>
      <c r="D193" s="30"/>
      <c r="E193" s="31"/>
      <c r="F193" s="29"/>
      <c r="G193" s="29"/>
      <c r="H193" s="29"/>
      <c r="I193" s="29"/>
      <c r="J193" s="29"/>
      <c r="K193" s="29"/>
      <c r="L193" s="32"/>
      <c r="M193" s="29"/>
      <c r="N193" s="29"/>
      <c r="O193" s="33"/>
      <c r="P193" s="29"/>
      <c r="Q193" s="29"/>
      <c r="R193" s="32"/>
      <c r="S193" s="29"/>
      <c r="T193" s="34"/>
      <c r="U193" s="29"/>
      <c r="V193" s="29"/>
      <c r="W193" s="28"/>
      <c r="X193" s="28"/>
      <c r="Y193" s="35"/>
      <c r="Z193" s="28"/>
      <c r="AA193" s="36"/>
      <c r="AB193" s="36"/>
    </row>
    <row r="194">
      <c r="A194" s="28"/>
      <c r="B194" s="29"/>
      <c r="C194" s="29"/>
      <c r="D194" s="30"/>
      <c r="E194" s="31"/>
      <c r="F194" s="29"/>
      <c r="G194" s="29"/>
      <c r="H194" s="29"/>
      <c r="I194" s="29"/>
      <c r="J194" s="29"/>
      <c r="K194" s="29"/>
      <c r="L194" s="32"/>
      <c r="M194" s="29"/>
      <c r="N194" s="29"/>
      <c r="O194" s="33"/>
      <c r="P194" s="29"/>
      <c r="Q194" s="29"/>
      <c r="R194" s="32"/>
      <c r="S194" s="29"/>
      <c r="T194" s="34"/>
      <c r="U194" s="29"/>
      <c r="V194" s="29"/>
      <c r="W194" s="28"/>
      <c r="X194" s="28"/>
      <c r="Y194" s="35"/>
      <c r="Z194" s="28"/>
      <c r="AA194" s="36"/>
      <c r="AB194" s="36"/>
    </row>
    <row r="195">
      <c r="A195" s="28"/>
      <c r="B195" s="29"/>
      <c r="C195" s="29"/>
      <c r="D195" s="30"/>
      <c r="E195" s="31"/>
      <c r="F195" s="29"/>
      <c r="G195" s="29"/>
      <c r="H195" s="29"/>
      <c r="I195" s="29"/>
      <c r="J195" s="29"/>
      <c r="K195" s="29"/>
      <c r="L195" s="32"/>
      <c r="M195" s="29"/>
      <c r="N195" s="29"/>
      <c r="O195" s="33"/>
      <c r="P195" s="29"/>
      <c r="Q195" s="29"/>
      <c r="R195" s="32"/>
      <c r="S195" s="29"/>
      <c r="T195" s="34"/>
      <c r="U195" s="29"/>
      <c r="V195" s="29"/>
      <c r="W195" s="28"/>
      <c r="X195" s="28"/>
      <c r="Y195" s="35"/>
      <c r="Z195" s="28"/>
      <c r="AA195" s="36"/>
      <c r="AB195" s="36"/>
    </row>
    <row r="196">
      <c r="A196" s="28"/>
      <c r="B196" s="29"/>
      <c r="C196" s="29"/>
      <c r="D196" s="30"/>
      <c r="E196" s="31"/>
      <c r="F196" s="29"/>
      <c r="G196" s="29"/>
      <c r="H196" s="29"/>
      <c r="I196" s="29"/>
      <c r="J196" s="29"/>
      <c r="K196" s="29"/>
      <c r="L196" s="32"/>
      <c r="M196" s="29"/>
      <c r="N196" s="29"/>
      <c r="O196" s="33"/>
      <c r="P196" s="29"/>
      <c r="Q196" s="29"/>
      <c r="R196" s="32"/>
      <c r="S196" s="29"/>
      <c r="T196" s="34"/>
      <c r="U196" s="29"/>
      <c r="V196" s="29"/>
      <c r="W196" s="28"/>
      <c r="X196" s="28"/>
      <c r="Y196" s="35"/>
      <c r="Z196" s="28"/>
      <c r="AA196" s="36"/>
      <c r="AB196" s="36"/>
    </row>
    <row r="197">
      <c r="A197" s="28"/>
      <c r="B197" s="29"/>
      <c r="C197" s="29"/>
      <c r="D197" s="30"/>
      <c r="E197" s="31"/>
      <c r="F197" s="29"/>
      <c r="G197" s="29"/>
      <c r="H197" s="29"/>
      <c r="I197" s="29"/>
      <c r="J197" s="29"/>
      <c r="K197" s="29"/>
      <c r="L197" s="32"/>
      <c r="M197" s="29"/>
      <c r="N197" s="29"/>
      <c r="O197" s="33"/>
      <c r="P197" s="29"/>
      <c r="Q197" s="29"/>
      <c r="R197" s="32"/>
      <c r="S197" s="29"/>
      <c r="T197" s="34"/>
      <c r="U197" s="29"/>
      <c r="V197" s="29"/>
      <c r="W197" s="28"/>
      <c r="X197" s="28"/>
      <c r="Y197" s="35"/>
      <c r="Z197" s="28"/>
      <c r="AA197" s="36"/>
      <c r="AB197" s="36"/>
    </row>
    <row r="198">
      <c r="A198" s="28"/>
      <c r="B198" s="29"/>
      <c r="C198" s="29"/>
      <c r="D198" s="30"/>
      <c r="E198" s="31"/>
      <c r="F198" s="29"/>
      <c r="G198" s="29"/>
      <c r="H198" s="29"/>
      <c r="I198" s="29"/>
      <c r="J198" s="29"/>
      <c r="K198" s="29"/>
      <c r="L198" s="32"/>
      <c r="M198" s="29"/>
      <c r="N198" s="29"/>
      <c r="O198" s="33"/>
      <c r="P198" s="29"/>
      <c r="Q198" s="29"/>
      <c r="R198" s="32"/>
      <c r="S198" s="29"/>
      <c r="T198" s="34"/>
      <c r="U198" s="29"/>
      <c r="V198" s="29"/>
      <c r="W198" s="28"/>
      <c r="X198" s="28"/>
      <c r="Y198" s="35"/>
      <c r="Z198" s="28"/>
      <c r="AA198" s="36"/>
      <c r="AB198" s="36"/>
    </row>
    <row r="199">
      <c r="A199" s="28"/>
      <c r="B199" s="29"/>
      <c r="C199" s="29"/>
      <c r="D199" s="30"/>
      <c r="E199" s="31"/>
      <c r="F199" s="29"/>
      <c r="G199" s="29"/>
      <c r="H199" s="29"/>
      <c r="I199" s="29"/>
      <c r="J199" s="29"/>
      <c r="K199" s="29"/>
      <c r="L199" s="32"/>
      <c r="M199" s="29"/>
      <c r="N199" s="29"/>
      <c r="O199" s="33"/>
      <c r="P199" s="29"/>
      <c r="Q199" s="29"/>
      <c r="R199" s="32"/>
      <c r="S199" s="29"/>
      <c r="T199" s="34"/>
      <c r="U199" s="29"/>
      <c r="V199" s="29"/>
      <c r="W199" s="28"/>
      <c r="X199" s="28"/>
      <c r="Y199" s="35"/>
      <c r="Z199" s="28"/>
      <c r="AA199" s="36"/>
      <c r="AB199" s="36"/>
    </row>
    <row r="200">
      <c r="A200" s="28"/>
      <c r="B200" s="29"/>
      <c r="C200" s="29"/>
      <c r="D200" s="30"/>
      <c r="E200" s="31"/>
      <c r="F200" s="29"/>
      <c r="G200" s="29"/>
      <c r="H200" s="29"/>
      <c r="I200" s="29"/>
      <c r="J200" s="29"/>
      <c r="K200" s="29"/>
      <c r="L200" s="32"/>
      <c r="M200" s="29"/>
      <c r="N200" s="29"/>
      <c r="O200" s="33"/>
      <c r="P200" s="29"/>
      <c r="Q200" s="29"/>
      <c r="R200" s="32"/>
      <c r="S200" s="29"/>
      <c r="T200" s="34"/>
      <c r="U200" s="29"/>
      <c r="V200" s="29"/>
      <c r="W200" s="28"/>
      <c r="X200" s="28"/>
      <c r="Y200" s="35"/>
      <c r="Z200" s="28"/>
      <c r="AA200" s="36"/>
      <c r="AB200" s="36"/>
    </row>
    <row r="201">
      <c r="A201" s="28"/>
      <c r="B201" s="29"/>
      <c r="C201" s="29"/>
      <c r="D201" s="30"/>
      <c r="E201" s="31"/>
      <c r="F201" s="29"/>
      <c r="G201" s="29"/>
      <c r="H201" s="29"/>
      <c r="I201" s="29"/>
      <c r="J201" s="29"/>
      <c r="K201" s="29"/>
      <c r="L201" s="32"/>
      <c r="M201" s="29"/>
      <c r="N201" s="29"/>
      <c r="O201" s="33"/>
      <c r="P201" s="29"/>
      <c r="Q201" s="29"/>
      <c r="R201" s="32"/>
      <c r="S201" s="29"/>
      <c r="T201" s="34"/>
      <c r="U201" s="29"/>
      <c r="V201" s="29"/>
      <c r="W201" s="28"/>
      <c r="X201" s="28"/>
      <c r="Y201" s="35"/>
      <c r="Z201" s="28"/>
      <c r="AA201" s="36"/>
      <c r="AB201" s="36"/>
    </row>
    <row r="202">
      <c r="A202" s="28"/>
      <c r="B202" s="29"/>
      <c r="C202" s="29"/>
      <c r="D202" s="30"/>
      <c r="E202" s="31"/>
      <c r="F202" s="29"/>
      <c r="G202" s="29"/>
      <c r="H202" s="29"/>
      <c r="I202" s="29"/>
      <c r="J202" s="29"/>
      <c r="K202" s="29"/>
      <c r="L202" s="32"/>
      <c r="M202" s="29"/>
      <c r="N202" s="29"/>
      <c r="O202" s="33"/>
      <c r="P202" s="29"/>
      <c r="Q202" s="29"/>
      <c r="R202" s="32"/>
      <c r="S202" s="29"/>
      <c r="T202" s="34"/>
      <c r="U202" s="29"/>
      <c r="V202" s="29"/>
      <c r="W202" s="28"/>
      <c r="X202" s="28"/>
      <c r="Y202" s="35"/>
      <c r="Z202" s="28"/>
      <c r="AA202" s="36"/>
      <c r="AB202" s="36"/>
    </row>
    <row r="203">
      <c r="A203" s="28"/>
      <c r="B203" s="29"/>
      <c r="C203" s="29"/>
      <c r="D203" s="30"/>
      <c r="E203" s="31"/>
      <c r="F203" s="29"/>
      <c r="G203" s="29"/>
      <c r="H203" s="29"/>
      <c r="I203" s="29"/>
      <c r="J203" s="29"/>
      <c r="K203" s="29"/>
      <c r="L203" s="32"/>
      <c r="M203" s="29"/>
      <c r="N203" s="29"/>
      <c r="O203" s="33"/>
      <c r="P203" s="29"/>
      <c r="Q203" s="29"/>
      <c r="R203" s="32"/>
      <c r="S203" s="29"/>
      <c r="T203" s="34"/>
      <c r="U203" s="29"/>
      <c r="V203" s="29"/>
      <c r="W203" s="28"/>
      <c r="X203" s="28"/>
      <c r="Y203" s="35"/>
      <c r="Z203" s="28"/>
      <c r="AA203" s="36"/>
      <c r="AB203" s="36"/>
    </row>
    <row r="204">
      <c r="A204" s="28"/>
      <c r="B204" s="29"/>
      <c r="C204" s="29"/>
      <c r="D204" s="30"/>
      <c r="E204" s="31"/>
      <c r="F204" s="29"/>
      <c r="G204" s="29"/>
      <c r="H204" s="29"/>
      <c r="I204" s="29"/>
      <c r="J204" s="29"/>
      <c r="K204" s="29"/>
      <c r="L204" s="32"/>
      <c r="M204" s="29"/>
      <c r="N204" s="29"/>
      <c r="O204" s="33"/>
      <c r="P204" s="29"/>
      <c r="Q204" s="29"/>
      <c r="R204" s="32"/>
      <c r="S204" s="29"/>
      <c r="T204" s="34"/>
      <c r="U204" s="29"/>
      <c r="V204" s="29"/>
      <c r="W204" s="28"/>
      <c r="X204" s="28"/>
      <c r="Y204" s="35"/>
      <c r="Z204" s="28"/>
      <c r="AA204" s="36"/>
      <c r="AB204" s="36"/>
    </row>
    <row r="205">
      <c r="A205" s="28"/>
      <c r="B205" s="29"/>
      <c r="C205" s="29"/>
      <c r="D205" s="30"/>
      <c r="E205" s="31"/>
      <c r="F205" s="29"/>
      <c r="G205" s="29"/>
      <c r="H205" s="29"/>
      <c r="I205" s="29"/>
      <c r="J205" s="29"/>
      <c r="K205" s="29"/>
      <c r="L205" s="32"/>
      <c r="M205" s="29"/>
      <c r="N205" s="29"/>
      <c r="O205" s="33"/>
      <c r="P205" s="29"/>
      <c r="Q205" s="29"/>
      <c r="R205" s="32"/>
      <c r="S205" s="29"/>
      <c r="T205" s="34"/>
      <c r="U205" s="29"/>
      <c r="V205" s="29"/>
      <c r="W205" s="28"/>
      <c r="X205" s="28"/>
      <c r="Y205" s="35"/>
      <c r="Z205" s="28"/>
      <c r="AA205" s="36"/>
      <c r="AB205" s="36"/>
    </row>
    <row r="206">
      <c r="A206" s="28"/>
      <c r="B206" s="29"/>
      <c r="C206" s="29"/>
      <c r="D206" s="30"/>
      <c r="E206" s="31"/>
      <c r="F206" s="29"/>
      <c r="G206" s="29"/>
      <c r="H206" s="29"/>
      <c r="I206" s="29"/>
      <c r="J206" s="29"/>
      <c r="K206" s="29"/>
      <c r="L206" s="32"/>
      <c r="M206" s="29"/>
      <c r="N206" s="29"/>
      <c r="O206" s="33"/>
      <c r="P206" s="29"/>
      <c r="Q206" s="29"/>
      <c r="R206" s="32"/>
      <c r="S206" s="29"/>
      <c r="T206" s="34"/>
      <c r="U206" s="29"/>
      <c r="V206" s="29"/>
      <c r="W206" s="28"/>
      <c r="X206" s="28"/>
      <c r="Y206" s="35"/>
      <c r="Z206" s="28"/>
      <c r="AA206" s="36"/>
      <c r="AB206" s="36"/>
    </row>
    <row r="207">
      <c r="A207" s="28"/>
      <c r="B207" s="29"/>
      <c r="C207" s="29"/>
      <c r="D207" s="30"/>
      <c r="E207" s="31"/>
      <c r="F207" s="29"/>
      <c r="G207" s="29"/>
      <c r="H207" s="29"/>
      <c r="I207" s="29"/>
      <c r="J207" s="29"/>
      <c r="K207" s="29"/>
      <c r="L207" s="32"/>
      <c r="M207" s="29"/>
      <c r="N207" s="29"/>
      <c r="O207" s="33"/>
      <c r="P207" s="29"/>
      <c r="Q207" s="29"/>
      <c r="R207" s="32"/>
      <c r="S207" s="29"/>
      <c r="T207" s="34"/>
      <c r="U207" s="29"/>
      <c r="V207" s="29"/>
      <c r="W207" s="28"/>
      <c r="X207" s="28"/>
      <c r="Y207" s="35"/>
      <c r="Z207" s="28"/>
      <c r="AA207" s="36"/>
      <c r="AB207" s="36"/>
    </row>
    <row r="208">
      <c r="A208" s="28"/>
      <c r="B208" s="29"/>
      <c r="C208" s="29"/>
      <c r="D208" s="30"/>
      <c r="E208" s="31"/>
      <c r="F208" s="29"/>
      <c r="G208" s="29"/>
      <c r="H208" s="29"/>
      <c r="I208" s="29"/>
      <c r="J208" s="29"/>
      <c r="K208" s="29"/>
      <c r="L208" s="32"/>
      <c r="M208" s="29"/>
      <c r="N208" s="29"/>
      <c r="O208" s="33"/>
      <c r="P208" s="29"/>
      <c r="Q208" s="29"/>
      <c r="R208" s="32"/>
      <c r="S208" s="29"/>
      <c r="T208" s="34"/>
      <c r="U208" s="29"/>
      <c r="V208" s="29"/>
      <c r="W208" s="28"/>
      <c r="X208" s="28"/>
      <c r="Y208" s="35"/>
      <c r="Z208" s="28"/>
      <c r="AA208" s="36"/>
      <c r="AB208" s="36"/>
    </row>
    <row r="209">
      <c r="A209" s="28"/>
      <c r="B209" s="29"/>
      <c r="C209" s="29"/>
      <c r="D209" s="30"/>
      <c r="E209" s="31"/>
      <c r="F209" s="29"/>
      <c r="G209" s="29"/>
      <c r="H209" s="29"/>
      <c r="I209" s="29"/>
      <c r="J209" s="29"/>
      <c r="K209" s="29"/>
      <c r="L209" s="32"/>
      <c r="M209" s="29"/>
      <c r="N209" s="29"/>
      <c r="O209" s="33"/>
      <c r="P209" s="29"/>
      <c r="Q209" s="29"/>
      <c r="R209" s="32"/>
      <c r="S209" s="29"/>
      <c r="T209" s="34"/>
      <c r="U209" s="29"/>
      <c r="V209" s="29"/>
      <c r="W209" s="28"/>
      <c r="X209" s="28"/>
      <c r="Y209" s="35"/>
      <c r="Z209" s="28"/>
      <c r="AA209" s="36"/>
      <c r="AB209" s="36"/>
    </row>
    <row r="210">
      <c r="A210" s="28"/>
      <c r="B210" s="29"/>
      <c r="C210" s="29"/>
      <c r="D210" s="30"/>
      <c r="E210" s="31"/>
      <c r="F210" s="29"/>
      <c r="G210" s="29"/>
      <c r="H210" s="29"/>
      <c r="I210" s="29"/>
      <c r="J210" s="29"/>
      <c r="K210" s="29"/>
      <c r="L210" s="32"/>
      <c r="M210" s="29"/>
      <c r="N210" s="29"/>
      <c r="O210" s="33"/>
      <c r="P210" s="29"/>
      <c r="Q210" s="29"/>
      <c r="R210" s="32"/>
      <c r="S210" s="29"/>
      <c r="T210" s="34"/>
      <c r="U210" s="29"/>
      <c r="V210" s="29"/>
      <c r="W210" s="28"/>
      <c r="X210" s="28"/>
      <c r="Y210" s="35"/>
      <c r="Z210" s="28"/>
      <c r="AA210" s="36"/>
      <c r="AB210" s="36"/>
    </row>
    <row r="211">
      <c r="A211" s="28"/>
      <c r="B211" s="29"/>
      <c r="C211" s="29"/>
      <c r="D211" s="30"/>
      <c r="E211" s="31"/>
      <c r="F211" s="29"/>
      <c r="G211" s="29"/>
      <c r="H211" s="29"/>
      <c r="I211" s="29"/>
      <c r="J211" s="29"/>
      <c r="K211" s="29"/>
      <c r="L211" s="32"/>
      <c r="M211" s="29"/>
      <c r="N211" s="29"/>
      <c r="O211" s="33"/>
      <c r="P211" s="29"/>
      <c r="Q211" s="29"/>
      <c r="R211" s="32"/>
      <c r="S211" s="29"/>
      <c r="T211" s="34"/>
      <c r="U211" s="29"/>
      <c r="V211" s="29"/>
      <c r="W211" s="28"/>
      <c r="X211" s="28"/>
      <c r="Y211" s="35"/>
      <c r="Z211" s="28"/>
      <c r="AA211" s="36"/>
      <c r="AB211" s="36"/>
    </row>
    <row r="212">
      <c r="A212" s="28"/>
      <c r="B212" s="29"/>
      <c r="C212" s="29"/>
      <c r="D212" s="30"/>
      <c r="E212" s="31"/>
      <c r="F212" s="29"/>
      <c r="G212" s="29"/>
      <c r="H212" s="29"/>
      <c r="I212" s="29"/>
      <c r="J212" s="29"/>
      <c r="K212" s="29"/>
      <c r="L212" s="32"/>
      <c r="M212" s="29"/>
      <c r="N212" s="29"/>
      <c r="O212" s="33"/>
      <c r="P212" s="29"/>
      <c r="Q212" s="29"/>
      <c r="R212" s="32"/>
      <c r="S212" s="29"/>
      <c r="T212" s="34"/>
      <c r="U212" s="29"/>
      <c r="V212" s="29"/>
      <c r="W212" s="28"/>
      <c r="X212" s="28"/>
      <c r="Y212" s="35"/>
      <c r="Z212" s="28"/>
      <c r="AA212" s="36"/>
      <c r="AB212" s="36"/>
    </row>
    <row r="213">
      <c r="A213" s="28"/>
      <c r="B213" s="29"/>
      <c r="C213" s="29"/>
      <c r="D213" s="30"/>
      <c r="E213" s="31"/>
      <c r="F213" s="29"/>
      <c r="G213" s="29"/>
      <c r="H213" s="29"/>
      <c r="I213" s="29"/>
      <c r="J213" s="29"/>
      <c r="K213" s="29"/>
      <c r="L213" s="32"/>
      <c r="M213" s="29"/>
      <c r="N213" s="29"/>
      <c r="O213" s="33"/>
      <c r="P213" s="29"/>
      <c r="Q213" s="29"/>
      <c r="R213" s="32"/>
      <c r="S213" s="29"/>
      <c r="T213" s="34"/>
      <c r="U213" s="29"/>
      <c r="V213" s="29"/>
      <c r="W213" s="28"/>
      <c r="X213" s="28"/>
      <c r="Y213" s="35"/>
      <c r="Z213" s="28"/>
      <c r="AA213" s="36"/>
      <c r="AB213" s="36"/>
    </row>
    <row r="214">
      <c r="A214" s="28"/>
      <c r="B214" s="29"/>
      <c r="C214" s="29"/>
      <c r="D214" s="30"/>
      <c r="E214" s="31"/>
      <c r="F214" s="29"/>
      <c r="G214" s="29"/>
      <c r="H214" s="29"/>
      <c r="I214" s="29"/>
      <c r="J214" s="29"/>
      <c r="K214" s="29"/>
      <c r="L214" s="32"/>
      <c r="M214" s="29"/>
      <c r="N214" s="29"/>
      <c r="O214" s="33"/>
      <c r="P214" s="29"/>
      <c r="Q214" s="29"/>
      <c r="R214" s="32"/>
      <c r="S214" s="29"/>
      <c r="T214" s="34"/>
      <c r="U214" s="29"/>
      <c r="V214" s="29"/>
      <c r="W214" s="28"/>
      <c r="X214" s="28"/>
      <c r="Y214" s="35"/>
      <c r="Z214" s="28"/>
      <c r="AA214" s="36"/>
      <c r="AB214" s="36"/>
    </row>
    <row r="215">
      <c r="A215" s="28"/>
      <c r="B215" s="29"/>
      <c r="C215" s="29"/>
      <c r="D215" s="30"/>
      <c r="E215" s="31"/>
      <c r="F215" s="29"/>
      <c r="G215" s="29"/>
      <c r="H215" s="29"/>
      <c r="I215" s="29"/>
      <c r="J215" s="29"/>
      <c r="K215" s="29"/>
      <c r="L215" s="32"/>
      <c r="M215" s="29"/>
      <c r="N215" s="29"/>
      <c r="O215" s="33"/>
      <c r="P215" s="29"/>
      <c r="Q215" s="29"/>
      <c r="R215" s="32"/>
      <c r="S215" s="29"/>
      <c r="T215" s="34"/>
      <c r="U215" s="29"/>
      <c r="V215" s="29"/>
      <c r="W215" s="28"/>
      <c r="X215" s="28"/>
      <c r="Y215" s="35"/>
      <c r="Z215" s="28"/>
      <c r="AA215" s="36"/>
      <c r="AB215" s="36"/>
    </row>
    <row r="216">
      <c r="A216" s="28"/>
      <c r="B216" s="29"/>
      <c r="C216" s="29"/>
      <c r="D216" s="30"/>
      <c r="E216" s="31"/>
      <c r="F216" s="29"/>
      <c r="G216" s="29"/>
      <c r="H216" s="29"/>
      <c r="I216" s="29"/>
      <c r="J216" s="29"/>
      <c r="K216" s="29"/>
      <c r="L216" s="32"/>
      <c r="M216" s="29"/>
      <c r="N216" s="29"/>
      <c r="O216" s="33"/>
      <c r="P216" s="29"/>
      <c r="Q216" s="29"/>
      <c r="R216" s="32"/>
      <c r="S216" s="29"/>
      <c r="T216" s="34"/>
      <c r="U216" s="29"/>
      <c r="V216" s="29"/>
      <c r="W216" s="28"/>
      <c r="X216" s="28"/>
      <c r="Y216" s="35"/>
      <c r="Z216" s="28"/>
      <c r="AA216" s="36"/>
      <c r="AB216" s="36"/>
    </row>
    <row r="217">
      <c r="A217" s="28"/>
      <c r="B217" s="29"/>
      <c r="C217" s="29"/>
      <c r="D217" s="30"/>
      <c r="E217" s="31"/>
      <c r="F217" s="29"/>
      <c r="G217" s="29"/>
      <c r="H217" s="29"/>
      <c r="I217" s="29"/>
      <c r="J217" s="29"/>
      <c r="K217" s="29"/>
      <c r="L217" s="32"/>
      <c r="M217" s="29"/>
      <c r="N217" s="29"/>
      <c r="O217" s="33"/>
      <c r="P217" s="29"/>
      <c r="Q217" s="29"/>
      <c r="R217" s="32"/>
      <c r="S217" s="29"/>
      <c r="T217" s="34"/>
      <c r="U217" s="29"/>
      <c r="V217" s="29"/>
      <c r="W217" s="28"/>
      <c r="X217" s="28"/>
      <c r="Y217" s="35"/>
      <c r="Z217" s="28"/>
      <c r="AA217" s="36"/>
      <c r="AB217" s="36"/>
    </row>
    <row r="218">
      <c r="A218" s="28"/>
      <c r="B218" s="29"/>
      <c r="C218" s="29"/>
      <c r="D218" s="30"/>
      <c r="E218" s="31"/>
      <c r="F218" s="29"/>
      <c r="G218" s="29"/>
      <c r="H218" s="29"/>
      <c r="I218" s="29"/>
      <c r="J218" s="29"/>
      <c r="K218" s="29"/>
      <c r="L218" s="32"/>
      <c r="M218" s="29"/>
      <c r="N218" s="29"/>
      <c r="O218" s="33"/>
      <c r="P218" s="29"/>
      <c r="Q218" s="29"/>
      <c r="R218" s="32"/>
      <c r="S218" s="29"/>
      <c r="T218" s="34"/>
      <c r="U218" s="29"/>
      <c r="V218" s="29"/>
      <c r="W218" s="28"/>
      <c r="X218" s="28"/>
      <c r="Y218" s="35"/>
      <c r="Z218" s="28"/>
      <c r="AA218" s="36"/>
      <c r="AB218" s="36"/>
    </row>
    <row r="219">
      <c r="A219" s="28"/>
      <c r="B219" s="29"/>
      <c r="C219" s="29"/>
      <c r="D219" s="30"/>
      <c r="E219" s="31"/>
      <c r="F219" s="29"/>
      <c r="G219" s="29"/>
      <c r="H219" s="29"/>
      <c r="I219" s="29"/>
      <c r="J219" s="29"/>
      <c r="K219" s="29"/>
      <c r="L219" s="32"/>
      <c r="M219" s="29"/>
      <c r="N219" s="29"/>
      <c r="O219" s="33"/>
      <c r="P219" s="29"/>
      <c r="Q219" s="29"/>
      <c r="R219" s="32"/>
      <c r="S219" s="29"/>
      <c r="T219" s="34"/>
      <c r="U219" s="29"/>
      <c r="V219" s="29"/>
      <c r="W219" s="28"/>
      <c r="X219" s="28"/>
      <c r="Y219" s="35"/>
      <c r="Z219" s="28"/>
      <c r="AA219" s="36"/>
      <c r="AB219" s="36"/>
    </row>
    <row r="220">
      <c r="A220" s="28"/>
      <c r="B220" s="29"/>
      <c r="C220" s="29"/>
      <c r="D220" s="30"/>
      <c r="E220" s="31"/>
      <c r="F220" s="29"/>
      <c r="G220" s="29"/>
      <c r="H220" s="29"/>
      <c r="I220" s="29"/>
      <c r="J220" s="29"/>
      <c r="K220" s="29"/>
      <c r="L220" s="32"/>
      <c r="M220" s="29"/>
      <c r="N220" s="29"/>
      <c r="O220" s="33"/>
      <c r="P220" s="29"/>
      <c r="Q220" s="29"/>
      <c r="R220" s="32"/>
      <c r="S220" s="29"/>
      <c r="T220" s="34"/>
      <c r="U220" s="29"/>
      <c r="V220" s="29"/>
      <c r="W220" s="28"/>
      <c r="X220" s="28"/>
      <c r="Y220" s="35"/>
      <c r="Z220" s="28"/>
      <c r="AA220" s="36"/>
      <c r="AB220" s="36"/>
    </row>
    <row r="221">
      <c r="A221" s="28"/>
      <c r="B221" s="29"/>
      <c r="C221" s="29"/>
      <c r="D221" s="30"/>
      <c r="E221" s="31"/>
      <c r="F221" s="29"/>
      <c r="G221" s="29"/>
      <c r="H221" s="29"/>
      <c r="I221" s="29"/>
      <c r="J221" s="29"/>
      <c r="K221" s="29"/>
      <c r="L221" s="32"/>
      <c r="M221" s="29"/>
      <c r="N221" s="29"/>
      <c r="O221" s="33"/>
      <c r="P221" s="29"/>
      <c r="Q221" s="29"/>
      <c r="R221" s="32"/>
      <c r="S221" s="29"/>
      <c r="T221" s="34"/>
      <c r="U221" s="29"/>
      <c r="V221" s="29"/>
      <c r="W221" s="28"/>
      <c r="X221" s="28"/>
      <c r="Y221" s="35"/>
      <c r="Z221" s="28"/>
      <c r="AA221" s="36"/>
      <c r="AB221" s="36"/>
    </row>
    <row r="222">
      <c r="A222" s="28"/>
      <c r="B222" s="29"/>
      <c r="C222" s="29"/>
      <c r="D222" s="30"/>
      <c r="E222" s="31"/>
      <c r="F222" s="29"/>
      <c r="G222" s="29"/>
      <c r="H222" s="29"/>
      <c r="I222" s="29"/>
      <c r="J222" s="29"/>
      <c r="K222" s="29"/>
      <c r="L222" s="32"/>
      <c r="M222" s="29"/>
      <c r="N222" s="29"/>
      <c r="O222" s="33"/>
      <c r="P222" s="29"/>
      <c r="Q222" s="29"/>
      <c r="R222" s="32"/>
      <c r="S222" s="29"/>
      <c r="T222" s="34"/>
      <c r="U222" s="29"/>
      <c r="V222" s="29"/>
      <c r="W222" s="28"/>
      <c r="X222" s="28"/>
      <c r="Y222" s="35"/>
      <c r="Z222" s="28"/>
      <c r="AA222" s="36"/>
      <c r="AB222" s="36"/>
    </row>
    <row r="223">
      <c r="A223" s="28"/>
      <c r="B223" s="29"/>
      <c r="C223" s="29"/>
      <c r="D223" s="30"/>
      <c r="E223" s="31"/>
      <c r="F223" s="29"/>
      <c r="G223" s="29"/>
      <c r="H223" s="29"/>
      <c r="I223" s="29"/>
      <c r="J223" s="29"/>
      <c r="K223" s="29"/>
      <c r="L223" s="32"/>
      <c r="M223" s="29"/>
      <c r="N223" s="29"/>
      <c r="O223" s="33"/>
      <c r="P223" s="29"/>
      <c r="Q223" s="29"/>
      <c r="R223" s="32"/>
      <c r="S223" s="29"/>
      <c r="T223" s="34"/>
      <c r="U223" s="29"/>
      <c r="V223" s="29"/>
      <c r="W223" s="28"/>
      <c r="X223" s="28"/>
      <c r="Y223" s="35"/>
      <c r="Z223" s="28"/>
      <c r="AA223" s="36"/>
      <c r="AB223" s="36"/>
    </row>
    <row r="224">
      <c r="A224" s="28"/>
      <c r="B224" s="29"/>
      <c r="C224" s="29"/>
      <c r="D224" s="30"/>
      <c r="E224" s="31"/>
      <c r="F224" s="29"/>
      <c r="G224" s="29"/>
      <c r="H224" s="29"/>
      <c r="I224" s="29"/>
      <c r="J224" s="29"/>
      <c r="K224" s="29"/>
      <c r="L224" s="32"/>
      <c r="M224" s="29"/>
      <c r="N224" s="29"/>
      <c r="O224" s="33"/>
      <c r="P224" s="29"/>
      <c r="Q224" s="29"/>
      <c r="R224" s="32"/>
      <c r="S224" s="29"/>
      <c r="T224" s="34"/>
      <c r="U224" s="29"/>
      <c r="V224" s="29"/>
      <c r="W224" s="28"/>
      <c r="X224" s="28"/>
      <c r="Y224" s="35"/>
      <c r="Z224" s="28"/>
      <c r="AA224" s="36"/>
      <c r="AB224" s="36"/>
    </row>
    <row r="225">
      <c r="A225" s="28"/>
      <c r="B225" s="29"/>
      <c r="C225" s="29"/>
      <c r="D225" s="30"/>
      <c r="E225" s="31"/>
      <c r="F225" s="29"/>
      <c r="G225" s="29"/>
      <c r="H225" s="29"/>
      <c r="I225" s="29"/>
      <c r="J225" s="29"/>
      <c r="K225" s="29"/>
      <c r="L225" s="32"/>
      <c r="M225" s="29"/>
      <c r="N225" s="29"/>
      <c r="O225" s="33"/>
      <c r="P225" s="29"/>
      <c r="Q225" s="29"/>
      <c r="R225" s="32"/>
      <c r="S225" s="29"/>
      <c r="T225" s="34"/>
      <c r="U225" s="29"/>
      <c r="V225" s="29"/>
      <c r="W225" s="28"/>
      <c r="X225" s="28"/>
      <c r="Y225" s="35"/>
      <c r="Z225" s="28"/>
      <c r="AA225" s="36"/>
      <c r="AB225" s="36"/>
    </row>
    <row r="226">
      <c r="A226" s="28"/>
      <c r="B226" s="29"/>
      <c r="C226" s="29"/>
      <c r="D226" s="30"/>
      <c r="E226" s="31"/>
      <c r="F226" s="29"/>
      <c r="G226" s="29"/>
      <c r="H226" s="29"/>
      <c r="I226" s="29"/>
      <c r="J226" s="29"/>
      <c r="K226" s="29"/>
      <c r="L226" s="32"/>
      <c r="M226" s="29"/>
      <c r="N226" s="29"/>
      <c r="O226" s="33"/>
      <c r="P226" s="29"/>
      <c r="Q226" s="29"/>
      <c r="R226" s="32"/>
      <c r="S226" s="29"/>
      <c r="T226" s="34"/>
      <c r="U226" s="29"/>
      <c r="V226" s="29"/>
      <c r="W226" s="28"/>
      <c r="X226" s="28"/>
      <c r="Y226" s="35"/>
      <c r="Z226" s="28"/>
      <c r="AA226" s="36"/>
      <c r="AB226" s="36"/>
    </row>
    <row r="227">
      <c r="A227" s="28"/>
      <c r="B227" s="29"/>
      <c r="C227" s="29"/>
      <c r="D227" s="30"/>
      <c r="E227" s="31"/>
      <c r="F227" s="29"/>
      <c r="G227" s="29"/>
      <c r="H227" s="29"/>
      <c r="I227" s="29"/>
      <c r="J227" s="29"/>
      <c r="K227" s="29"/>
      <c r="L227" s="32"/>
      <c r="M227" s="29"/>
      <c r="N227" s="29"/>
      <c r="O227" s="33"/>
      <c r="P227" s="29"/>
      <c r="Q227" s="29"/>
      <c r="R227" s="32"/>
      <c r="S227" s="29"/>
      <c r="T227" s="34"/>
      <c r="U227" s="29"/>
      <c r="V227" s="29"/>
      <c r="W227" s="28"/>
      <c r="X227" s="28"/>
      <c r="Y227" s="35"/>
      <c r="Z227" s="28"/>
      <c r="AA227" s="36"/>
      <c r="AB227" s="36"/>
    </row>
    <row r="228">
      <c r="A228" s="28"/>
      <c r="B228" s="29"/>
      <c r="C228" s="29"/>
      <c r="D228" s="30"/>
      <c r="E228" s="31"/>
      <c r="F228" s="29"/>
      <c r="G228" s="29"/>
      <c r="H228" s="29"/>
      <c r="I228" s="29"/>
      <c r="J228" s="29"/>
      <c r="K228" s="29"/>
      <c r="L228" s="32"/>
      <c r="M228" s="29"/>
      <c r="N228" s="29"/>
      <c r="O228" s="33"/>
      <c r="P228" s="29"/>
      <c r="Q228" s="29"/>
      <c r="R228" s="32"/>
      <c r="S228" s="29"/>
      <c r="T228" s="34"/>
      <c r="U228" s="29"/>
      <c r="V228" s="29"/>
      <c r="W228" s="28"/>
      <c r="X228" s="28"/>
      <c r="Y228" s="35"/>
      <c r="Z228" s="28"/>
      <c r="AA228" s="36"/>
      <c r="AB228" s="36"/>
    </row>
    <row r="229">
      <c r="A229" s="28"/>
      <c r="B229" s="29"/>
      <c r="C229" s="29"/>
      <c r="D229" s="30"/>
      <c r="E229" s="31"/>
      <c r="F229" s="29"/>
      <c r="G229" s="29"/>
      <c r="H229" s="29"/>
      <c r="I229" s="29"/>
      <c r="J229" s="29"/>
      <c r="K229" s="29"/>
      <c r="L229" s="32"/>
      <c r="M229" s="29"/>
      <c r="N229" s="29"/>
      <c r="O229" s="33"/>
      <c r="P229" s="29"/>
      <c r="Q229" s="29"/>
      <c r="R229" s="32"/>
      <c r="S229" s="29"/>
      <c r="T229" s="34"/>
      <c r="U229" s="29"/>
      <c r="V229" s="29"/>
      <c r="W229" s="28"/>
      <c r="X229" s="28"/>
      <c r="Y229" s="35"/>
      <c r="Z229" s="28"/>
      <c r="AA229" s="36"/>
      <c r="AB229" s="36"/>
    </row>
    <row r="230">
      <c r="A230" s="28"/>
      <c r="B230" s="29"/>
      <c r="C230" s="29"/>
      <c r="D230" s="30"/>
      <c r="E230" s="31"/>
      <c r="F230" s="29"/>
      <c r="G230" s="29"/>
      <c r="H230" s="29"/>
      <c r="I230" s="29"/>
      <c r="J230" s="29"/>
      <c r="K230" s="29"/>
      <c r="L230" s="32"/>
      <c r="M230" s="29"/>
      <c r="N230" s="29"/>
      <c r="O230" s="33"/>
      <c r="P230" s="29"/>
      <c r="Q230" s="29"/>
      <c r="R230" s="32"/>
      <c r="S230" s="29"/>
      <c r="T230" s="34"/>
      <c r="U230" s="29"/>
      <c r="V230" s="29"/>
      <c r="W230" s="28"/>
      <c r="X230" s="28"/>
      <c r="Y230" s="35"/>
      <c r="Z230" s="28"/>
      <c r="AA230" s="36"/>
      <c r="AB230" s="36"/>
    </row>
    <row r="231">
      <c r="A231" s="28"/>
      <c r="B231" s="29"/>
      <c r="C231" s="29"/>
      <c r="D231" s="30"/>
      <c r="E231" s="31"/>
      <c r="F231" s="29"/>
      <c r="G231" s="29"/>
      <c r="H231" s="29"/>
      <c r="I231" s="29"/>
      <c r="J231" s="29"/>
      <c r="K231" s="29"/>
      <c r="L231" s="32"/>
      <c r="M231" s="29"/>
      <c r="N231" s="29"/>
      <c r="O231" s="33"/>
      <c r="P231" s="29"/>
      <c r="Q231" s="29"/>
      <c r="R231" s="32"/>
      <c r="S231" s="29"/>
      <c r="T231" s="34"/>
      <c r="U231" s="29"/>
      <c r="V231" s="29"/>
      <c r="W231" s="28"/>
      <c r="X231" s="28"/>
      <c r="Y231" s="35"/>
      <c r="Z231" s="28"/>
      <c r="AA231" s="36"/>
      <c r="AB231" s="36"/>
    </row>
    <row r="232">
      <c r="A232" s="28"/>
      <c r="B232" s="29"/>
      <c r="C232" s="29"/>
      <c r="D232" s="30"/>
      <c r="E232" s="31"/>
      <c r="F232" s="29"/>
      <c r="G232" s="29"/>
      <c r="H232" s="29"/>
      <c r="I232" s="29"/>
      <c r="J232" s="29"/>
      <c r="K232" s="29"/>
      <c r="L232" s="32"/>
      <c r="M232" s="29"/>
      <c r="N232" s="29"/>
      <c r="O232" s="33"/>
      <c r="P232" s="29"/>
      <c r="Q232" s="29"/>
      <c r="R232" s="32"/>
      <c r="S232" s="29"/>
      <c r="T232" s="34"/>
      <c r="U232" s="29"/>
      <c r="V232" s="29"/>
      <c r="W232" s="28"/>
      <c r="X232" s="28"/>
      <c r="Y232" s="35"/>
      <c r="Z232" s="28"/>
      <c r="AA232" s="36"/>
      <c r="AB232" s="36"/>
    </row>
    <row r="233">
      <c r="A233" s="28"/>
      <c r="B233" s="29"/>
      <c r="C233" s="29"/>
      <c r="D233" s="30"/>
      <c r="E233" s="31"/>
      <c r="F233" s="29"/>
      <c r="G233" s="29"/>
      <c r="H233" s="29"/>
      <c r="I233" s="29"/>
      <c r="J233" s="29"/>
      <c r="K233" s="29"/>
      <c r="L233" s="32"/>
      <c r="M233" s="29"/>
      <c r="N233" s="29"/>
      <c r="O233" s="33"/>
      <c r="P233" s="29"/>
      <c r="Q233" s="29"/>
      <c r="R233" s="32"/>
      <c r="S233" s="29"/>
      <c r="T233" s="34"/>
      <c r="U233" s="29"/>
      <c r="V233" s="29"/>
      <c r="W233" s="28"/>
      <c r="X233" s="28"/>
      <c r="Y233" s="35"/>
      <c r="Z233" s="28"/>
      <c r="AA233" s="36"/>
      <c r="AB233" s="36"/>
    </row>
    <row r="234">
      <c r="A234" s="28"/>
      <c r="B234" s="29"/>
      <c r="C234" s="29"/>
      <c r="D234" s="30"/>
      <c r="E234" s="31"/>
      <c r="F234" s="29"/>
      <c r="G234" s="29"/>
      <c r="H234" s="29"/>
      <c r="I234" s="29"/>
      <c r="J234" s="29"/>
      <c r="K234" s="29"/>
      <c r="L234" s="32"/>
      <c r="M234" s="29"/>
      <c r="N234" s="29"/>
      <c r="O234" s="33"/>
      <c r="P234" s="29"/>
      <c r="Q234" s="29"/>
      <c r="R234" s="32"/>
      <c r="S234" s="29"/>
      <c r="T234" s="34"/>
      <c r="U234" s="29"/>
      <c r="V234" s="29"/>
      <c r="W234" s="28"/>
      <c r="X234" s="28"/>
      <c r="Y234" s="35"/>
      <c r="Z234" s="28"/>
      <c r="AA234" s="36"/>
      <c r="AB234" s="36"/>
    </row>
    <row r="235">
      <c r="A235" s="28"/>
      <c r="B235" s="29"/>
      <c r="C235" s="29"/>
      <c r="D235" s="30"/>
      <c r="E235" s="31"/>
      <c r="F235" s="29"/>
      <c r="G235" s="29"/>
      <c r="H235" s="29"/>
      <c r="I235" s="29"/>
      <c r="J235" s="29"/>
      <c r="K235" s="29"/>
      <c r="L235" s="32"/>
      <c r="M235" s="29"/>
      <c r="N235" s="29"/>
      <c r="O235" s="33"/>
      <c r="P235" s="29"/>
      <c r="Q235" s="29"/>
      <c r="R235" s="32"/>
      <c r="S235" s="29"/>
      <c r="T235" s="34"/>
      <c r="U235" s="29"/>
      <c r="V235" s="29"/>
      <c r="W235" s="28"/>
      <c r="X235" s="28"/>
      <c r="Y235" s="35"/>
      <c r="Z235" s="28"/>
      <c r="AA235" s="36"/>
      <c r="AB235" s="36"/>
    </row>
    <row r="236">
      <c r="A236" s="28"/>
      <c r="B236" s="29"/>
      <c r="C236" s="29"/>
      <c r="D236" s="30"/>
      <c r="E236" s="31"/>
      <c r="F236" s="29"/>
      <c r="G236" s="29"/>
      <c r="H236" s="29"/>
      <c r="I236" s="29"/>
      <c r="J236" s="29"/>
      <c r="K236" s="29"/>
      <c r="L236" s="32"/>
      <c r="M236" s="29"/>
      <c r="N236" s="29"/>
      <c r="O236" s="33"/>
      <c r="P236" s="29"/>
      <c r="Q236" s="29"/>
      <c r="R236" s="32"/>
      <c r="S236" s="29"/>
      <c r="T236" s="34"/>
      <c r="U236" s="29"/>
      <c r="V236" s="29"/>
      <c r="W236" s="28"/>
      <c r="X236" s="28"/>
      <c r="Y236" s="35"/>
      <c r="Z236" s="28"/>
      <c r="AA236" s="36"/>
      <c r="AB236" s="36"/>
    </row>
    <row r="237">
      <c r="A237" s="28"/>
      <c r="B237" s="29"/>
      <c r="C237" s="29"/>
      <c r="D237" s="30"/>
      <c r="E237" s="31"/>
      <c r="F237" s="29"/>
      <c r="G237" s="29"/>
      <c r="H237" s="29"/>
      <c r="I237" s="29"/>
      <c r="J237" s="29"/>
      <c r="K237" s="29"/>
      <c r="L237" s="32"/>
      <c r="M237" s="29"/>
      <c r="N237" s="29"/>
      <c r="O237" s="33"/>
      <c r="P237" s="29"/>
      <c r="Q237" s="29"/>
      <c r="R237" s="32"/>
      <c r="S237" s="29"/>
      <c r="T237" s="34"/>
      <c r="U237" s="29"/>
      <c r="V237" s="29"/>
      <c r="W237" s="28"/>
      <c r="X237" s="28"/>
      <c r="Y237" s="35"/>
      <c r="Z237" s="28"/>
      <c r="AA237" s="36"/>
      <c r="AB237" s="36"/>
    </row>
    <row r="238">
      <c r="A238" s="28"/>
      <c r="B238" s="29"/>
      <c r="C238" s="29"/>
      <c r="D238" s="30"/>
      <c r="E238" s="31"/>
      <c r="F238" s="29"/>
      <c r="G238" s="29"/>
      <c r="H238" s="29"/>
      <c r="I238" s="29"/>
      <c r="J238" s="29"/>
      <c r="K238" s="29"/>
      <c r="L238" s="32"/>
      <c r="M238" s="29"/>
      <c r="N238" s="29"/>
      <c r="O238" s="33"/>
      <c r="P238" s="29"/>
      <c r="Q238" s="29"/>
      <c r="R238" s="32"/>
      <c r="S238" s="29"/>
      <c r="T238" s="34"/>
      <c r="U238" s="29"/>
      <c r="V238" s="29"/>
      <c r="W238" s="28"/>
      <c r="X238" s="28"/>
      <c r="Y238" s="35"/>
      <c r="Z238" s="28"/>
      <c r="AA238" s="36"/>
      <c r="AB238" s="36"/>
    </row>
    <row r="239">
      <c r="A239" s="28"/>
      <c r="B239" s="29"/>
      <c r="C239" s="29"/>
      <c r="D239" s="30"/>
      <c r="E239" s="31"/>
      <c r="F239" s="29"/>
      <c r="G239" s="29"/>
      <c r="H239" s="29"/>
      <c r="I239" s="29"/>
      <c r="J239" s="29"/>
      <c r="K239" s="29"/>
      <c r="L239" s="32"/>
      <c r="M239" s="29"/>
      <c r="N239" s="29"/>
      <c r="O239" s="33"/>
      <c r="P239" s="29"/>
      <c r="Q239" s="29"/>
      <c r="R239" s="32"/>
      <c r="S239" s="29"/>
      <c r="T239" s="34"/>
      <c r="U239" s="29"/>
      <c r="V239" s="29"/>
      <c r="W239" s="28"/>
      <c r="X239" s="28"/>
      <c r="Y239" s="35"/>
      <c r="Z239" s="28"/>
      <c r="AA239" s="36"/>
      <c r="AB239" s="36"/>
    </row>
    <row r="240">
      <c r="A240" s="28"/>
      <c r="B240" s="29"/>
      <c r="C240" s="29"/>
      <c r="D240" s="30"/>
      <c r="E240" s="31"/>
      <c r="F240" s="29"/>
      <c r="G240" s="29"/>
      <c r="H240" s="29"/>
      <c r="I240" s="29"/>
      <c r="J240" s="29"/>
      <c r="K240" s="29"/>
      <c r="L240" s="32"/>
      <c r="M240" s="29"/>
      <c r="N240" s="29"/>
      <c r="O240" s="33"/>
      <c r="P240" s="29"/>
      <c r="Q240" s="29"/>
      <c r="R240" s="32"/>
      <c r="S240" s="29"/>
      <c r="T240" s="34"/>
      <c r="U240" s="29"/>
      <c r="V240" s="29"/>
      <c r="W240" s="28"/>
      <c r="X240" s="28"/>
      <c r="Y240" s="35"/>
      <c r="Z240" s="28"/>
      <c r="AA240" s="36"/>
      <c r="AB240" s="36"/>
    </row>
    <row r="241">
      <c r="A241" s="28"/>
      <c r="B241" s="29"/>
      <c r="C241" s="29"/>
      <c r="D241" s="30"/>
      <c r="E241" s="31"/>
      <c r="F241" s="29"/>
      <c r="G241" s="29"/>
      <c r="H241" s="29"/>
      <c r="I241" s="29"/>
      <c r="J241" s="29"/>
      <c r="K241" s="29"/>
      <c r="L241" s="32"/>
      <c r="M241" s="29"/>
      <c r="N241" s="29"/>
      <c r="O241" s="33"/>
      <c r="P241" s="29"/>
      <c r="Q241" s="29"/>
      <c r="R241" s="32"/>
      <c r="S241" s="29"/>
      <c r="T241" s="34"/>
      <c r="U241" s="29"/>
      <c r="V241" s="29"/>
      <c r="W241" s="28"/>
      <c r="X241" s="28"/>
      <c r="Y241" s="35"/>
      <c r="Z241" s="28"/>
      <c r="AA241" s="36"/>
      <c r="AB241" s="36"/>
    </row>
    <row r="242">
      <c r="A242" s="28"/>
      <c r="B242" s="29"/>
      <c r="C242" s="29"/>
      <c r="D242" s="30"/>
      <c r="E242" s="31"/>
      <c r="F242" s="29"/>
      <c r="G242" s="29"/>
      <c r="H242" s="29"/>
      <c r="I242" s="29"/>
      <c r="J242" s="29"/>
      <c r="K242" s="29"/>
      <c r="L242" s="32"/>
      <c r="M242" s="29"/>
      <c r="N242" s="29"/>
      <c r="O242" s="33"/>
      <c r="P242" s="29"/>
      <c r="Q242" s="29"/>
      <c r="R242" s="32"/>
      <c r="S242" s="29"/>
      <c r="T242" s="34"/>
      <c r="U242" s="29"/>
      <c r="V242" s="29"/>
      <c r="W242" s="28"/>
      <c r="X242" s="28"/>
      <c r="Y242" s="35"/>
      <c r="Z242" s="28"/>
      <c r="AA242" s="36"/>
      <c r="AB242" s="36"/>
    </row>
    <row r="243">
      <c r="A243" s="28"/>
      <c r="B243" s="29"/>
      <c r="C243" s="29"/>
      <c r="D243" s="30"/>
      <c r="E243" s="31"/>
      <c r="F243" s="29"/>
      <c r="G243" s="29"/>
      <c r="H243" s="29"/>
      <c r="I243" s="29"/>
      <c r="J243" s="29"/>
      <c r="K243" s="29"/>
      <c r="L243" s="32"/>
      <c r="M243" s="29"/>
      <c r="N243" s="29"/>
      <c r="O243" s="33"/>
      <c r="P243" s="29"/>
      <c r="Q243" s="29"/>
      <c r="R243" s="32"/>
      <c r="S243" s="29"/>
      <c r="T243" s="34"/>
      <c r="U243" s="29"/>
      <c r="V243" s="29"/>
      <c r="W243" s="28"/>
      <c r="X243" s="28"/>
      <c r="Y243" s="35"/>
      <c r="Z243" s="28"/>
      <c r="AA243" s="36"/>
      <c r="AB243" s="36"/>
    </row>
    <row r="244">
      <c r="A244" s="28"/>
      <c r="B244" s="29"/>
      <c r="C244" s="29"/>
      <c r="D244" s="30"/>
      <c r="E244" s="31"/>
      <c r="F244" s="29"/>
      <c r="G244" s="29"/>
      <c r="H244" s="29"/>
      <c r="I244" s="29"/>
      <c r="J244" s="29"/>
      <c r="K244" s="29"/>
      <c r="L244" s="32"/>
      <c r="M244" s="29"/>
      <c r="N244" s="29"/>
      <c r="O244" s="33"/>
      <c r="P244" s="29"/>
      <c r="Q244" s="29"/>
      <c r="R244" s="32"/>
      <c r="S244" s="29"/>
      <c r="T244" s="34"/>
      <c r="U244" s="29"/>
      <c r="V244" s="29"/>
      <c r="W244" s="28"/>
      <c r="X244" s="28"/>
      <c r="Y244" s="35"/>
      <c r="Z244" s="28"/>
      <c r="AA244" s="36"/>
      <c r="AB244" s="36"/>
    </row>
    <row r="245">
      <c r="A245" s="28"/>
      <c r="B245" s="29"/>
      <c r="C245" s="29"/>
      <c r="D245" s="30"/>
      <c r="E245" s="31"/>
      <c r="F245" s="29"/>
      <c r="G245" s="29"/>
      <c r="H245" s="29"/>
      <c r="I245" s="29"/>
      <c r="J245" s="29"/>
      <c r="K245" s="29"/>
      <c r="L245" s="32"/>
      <c r="M245" s="29"/>
      <c r="N245" s="29"/>
      <c r="O245" s="33"/>
      <c r="P245" s="29"/>
      <c r="Q245" s="29"/>
      <c r="R245" s="32"/>
      <c r="S245" s="29"/>
      <c r="T245" s="34"/>
      <c r="U245" s="29"/>
      <c r="V245" s="29"/>
      <c r="W245" s="28"/>
      <c r="X245" s="28"/>
      <c r="Y245" s="35"/>
      <c r="Z245" s="28"/>
      <c r="AA245" s="36"/>
      <c r="AB245" s="36"/>
    </row>
    <row r="246">
      <c r="A246" s="28"/>
      <c r="B246" s="29"/>
      <c r="C246" s="29"/>
      <c r="D246" s="30"/>
      <c r="E246" s="31"/>
      <c r="F246" s="29"/>
      <c r="G246" s="29"/>
      <c r="H246" s="29"/>
      <c r="I246" s="29"/>
      <c r="J246" s="29"/>
      <c r="K246" s="29"/>
      <c r="L246" s="32"/>
      <c r="M246" s="29"/>
      <c r="N246" s="29"/>
      <c r="O246" s="33"/>
      <c r="P246" s="29"/>
      <c r="Q246" s="29"/>
      <c r="R246" s="32"/>
      <c r="S246" s="29"/>
      <c r="T246" s="34"/>
      <c r="U246" s="29"/>
      <c r="V246" s="29"/>
      <c r="W246" s="28"/>
      <c r="X246" s="28"/>
      <c r="Y246" s="35"/>
      <c r="Z246" s="28"/>
      <c r="AA246" s="36"/>
      <c r="AB246" s="36"/>
    </row>
    <row r="247">
      <c r="A247" s="28"/>
      <c r="B247" s="29"/>
      <c r="C247" s="29"/>
      <c r="D247" s="30"/>
      <c r="E247" s="31"/>
      <c r="F247" s="29"/>
      <c r="G247" s="29"/>
      <c r="H247" s="29"/>
      <c r="I247" s="29"/>
      <c r="J247" s="29"/>
      <c r="K247" s="29"/>
      <c r="L247" s="32"/>
      <c r="M247" s="29"/>
      <c r="N247" s="29"/>
      <c r="O247" s="33"/>
      <c r="P247" s="29"/>
      <c r="Q247" s="29"/>
      <c r="R247" s="32"/>
      <c r="S247" s="29"/>
      <c r="T247" s="34"/>
      <c r="U247" s="29"/>
      <c r="V247" s="29"/>
      <c r="W247" s="28"/>
      <c r="X247" s="28"/>
      <c r="Y247" s="35"/>
      <c r="Z247" s="28"/>
      <c r="AA247" s="36"/>
      <c r="AB247" s="36"/>
    </row>
    <row r="248">
      <c r="A248" s="28"/>
      <c r="B248" s="29"/>
      <c r="C248" s="29"/>
      <c r="D248" s="30"/>
      <c r="E248" s="31"/>
      <c r="F248" s="29"/>
      <c r="G248" s="29"/>
      <c r="H248" s="29"/>
      <c r="I248" s="29"/>
      <c r="J248" s="29"/>
      <c r="K248" s="29"/>
      <c r="L248" s="32"/>
      <c r="M248" s="29"/>
      <c r="N248" s="29"/>
      <c r="O248" s="33"/>
      <c r="P248" s="29"/>
      <c r="Q248" s="29"/>
      <c r="R248" s="32"/>
      <c r="S248" s="29"/>
      <c r="T248" s="34"/>
      <c r="U248" s="29"/>
      <c r="V248" s="29"/>
      <c r="W248" s="28"/>
      <c r="X248" s="28"/>
      <c r="Y248" s="35"/>
      <c r="Z248" s="28"/>
      <c r="AA248" s="36"/>
      <c r="AB248" s="36"/>
    </row>
    <row r="249">
      <c r="A249" s="28"/>
      <c r="B249" s="29"/>
      <c r="C249" s="29"/>
      <c r="D249" s="30"/>
      <c r="E249" s="31"/>
      <c r="F249" s="29"/>
      <c r="G249" s="29"/>
      <c r="H249" s="29"/>
      <c r="I249" s="29"/>
      <c r="J249" s="29"/>
      <c r="K249" s="29"/>
      <c r="L249" s="32"/>
      <c r="M249" s="29"/>
      <c r="N249" s="29"/>
      <c r="O249" s="33"/>
      <c r="P249" s="29"/>
      <c r="Q249" s="29"/>
      <c r="R249" s="32"/>
      <c r="S249" s="29"/>
      <c r="T249" s="34"/>
      <c r="U249" s="29"/>
      <c r="V249" s="29"/>
      <c r="W249" s="28"/>
      <c r="X249" s="28"/>
      <c r="Y249" s="35"/>
      <c r="Z249" s="28"/>
      <c r="AA249" s="36"/>
      <c r="AB249" s="36"/>
    </row>
    <row r="250">
      <c r="A250" s="28"/>
      <c r="B250" s="29"/>
      <c r="C250" s="29"/>
      <c r="D250" s="30"/>
      <c r="E250" s="31"/>
      <c r="F250" s="29"/>
      <c r="G250" s="29"/>
      <c r="H250" s="29"/>
      <c r="I250" s="29"/>
      <c r="J250" s="29"/>
      <c r="K250" s="29"/>
      <c r="L250" s="32"/>
      <c r="M250" s="29"/>
      <c r="N250" s="29"/>
      <c r="O250" s="33"/>
      <c r="P250" s="29"/>
      <c r="Q250" s="29"/>
      <c r="R250" s="32"/>
      <c r="S250" s="29"/>
      <c r="T250" s="34"/>
      <c r="U250" s="29"/>
      <c r="V250" s="29"/>
      <c r="W250" s="28"/>
      <c r="X250" s="28"/>
      <c r="Y250" s="35"/>
      <c r="Z250" s="28"/>
      <c r="AA250" s="36"/>
      <c r="AB250" s="36"/>
    </row>
    <row r="251">
      <c r="A251" s="28"/>
      <c r="B251" s="29"/>
      <c r="C251" s="29"/>
      <c r="D251" s="30"/>
      <c r="E251" s="31"/>
      <c r="F251" s="29"/>
      <c r="G251" s="29"/>
      <c r="H251" s="29"/>
      <c r="I251" s="29"/>
      <c r="J251" s="29"/>
      <c r="K251" s="29"/>
      <c r="L251" s="32"/>
      <c r="M251" s="29"/>
      <c r="N251" s="29"/>
      <c r="O251" s="33"/>
      <c r="P251" s="29"/>
      <c r="Q251" s="29"/>
      <c r="R251" s="32"/>
      <c r="S251" s="29"/>
      <c r="T251" s="34"/>
      <c r="U251" s="29"/>
      <c r="V251" s="29"/>
      <c r="W251" s="28"/>
      <c r="X251" s="28"/>
      <c r="Y251" s="35"/>
      <c r="Z251" s="28"/>
      <c r="AA251" s="36"/>
      <c r="AB251" s="36"/>
    </row>
    <row r="252">
      <c r="A252" s="28"/>
      <c r="B252" s="29"/>
      <c r="C252" s="29"/>
      <c r="D252" s="30"/>
      <c r="E252" s="31"/>
      <c r="F252" s="29"/>
      <c r="G252" s="29"/>
      <c r="H252" s="29"/>
      <c r="I252" s="29"/>
      <c r="J252" s="29"/>
      <c r="K252" s="29"/>
      <c r="L252" s="32"/>
      <c r="M252" s="29"/>
      <c r="N252" s="29"/>
      <c r="O252" s="33"/>
      <c r="P252" s="29"/>
      <c r="Q252" s="29"/>
      <c r="R252" s="32"/>
      <c r="S252" s="29"/>
      <c r="T252" s="34"/>
      <c r="U252" s="29"/>
      <c r="V252" s="29"/>
      <c r="W252" s="28"/>
      <c r="X252" s="28"/>
      <c r="Y252" s="35"/>
      <c r="Z252" s="28"/>
      <c r="AA252" s="36"/>
      <c r="AB252" s="36"/>
    </row>
    <row r="253">
      <c r="A253" s="28"/>
      <c r="B253" s="29"/>
      <c r="C253" s="29"/>
      <c r="D253" s="30"/>
      <c r="E253" s="31"/>
      <c r="F253" s="29"/>
      <c r="G253" s="29"/>
      <c r="H253" s="29"/>
      <c r="I253" s="29"/>
      <c r="J253" s="29"/>
      <c r="K253" s="29"/>
      <c r="L253" s="32"/>
      <c r="M253" s="29"/>
      <c r="N253" s="29"/>
      <c r="O253" s="33"/>
      <c r="P253" s="29"/>
      <c r="Q253" s="29"/>
      <c r="R253" s="32"/>
      <c r="S253" s="29"/>
      <c r="T253" s="34"/>
      <c r="U253" s="29"/>
      <c r="V253" s="29"/>
      <c r="W253" s="28"/>
      <c r="X253" s="28"/>
      <c r="Y253" s="35"/>
      <c r="Z253" s="28"/>
      <c r="AA253" s="36"/>
      <c r="AB253" s="36"/>
    </row>
    <row r="254">
      <c r="A254" s="28"/>
      <c r="B254" s="29"/>
      <c r="C254" s="29"/>
      <c r="D254" s="30"/>
      <c r="E254" s="31"/>
      <c r="F254" s="29"/>
      <c r="G254" s="29"/>
      <c r="H254" s="29"/>
      <c r="I254" s="29"/>
      <c r="J254" s="29"/>
      <c r="K254" s="29"/>
      <c r="L254" s="32"/>
      <c r="M254" s="29"/>
      <c r="N254" s="29"/>
      <c r="O254" s="33"/>
      <c r="P254" s="29"/>
      <c r="Q254" s="29"/>
      <c r="R254" s="32"/>
      <c r="S254" s="29"/>
      <c r="T254" s="34"/>
      <c r="U254" s="29"/>
      <c r="V254" s="29"/>
      <c r="W254" s="28"/>
      <c r="X254" s="28"/>
      <c r="Y254" s="35"/>
      <c r="Z254" s="28"/>
      <c r="AA254" s="36"/>
      <c r="AB254" s="36"/>
    </row>
    <row r="255">
      <c r="A255" s="28"/>
      <c r="B255" s="29"/>
      <c r="C255" s="29"/>
      <c r="D255" s="30"/>
      <c r="E255" s="31"/>
      <c r="F255" s="29"/>
      <c r="G255" s="29"/>
      <c r="H255" s="29"/>
      <c r="I255" s="29"/>
      <c r="J255" s="29"/>
      <c r="K255" s="29"/>
      <c r="L255" s="32"/>
      <c r="M255" s="29"/>
      <c r="N255" s="29"/>
      <c r="O255" s="33"/>
      <c r="P255" s="29"/>
      <c r="Q255" s="29"/>
      <c r="R255" s="32"/>
      <c r="S255" s="29"/>
      <c r="T255" s="34"/>
      <c r="U255" s="29"/>
      <c r="V255" s="29"/>
      <c r="W255" s="28"/>
      <c r="X255" s="28"/>
      <c r="Y255" s="35"/>
      <c r="Z255" s="28"/>
      <c r="AA255" s="36"/>
      <c r="AB255" s="36"/>
    </row>
    <row r="256">
      <c r="A256" s="28"/>
      <c r="B256" s="29"/>
      <c r="C256" s="29"/>
      <c r="D256" s="30"/>
      <c r="E256" s="31"/>
      <c r="F256" s="29"/>
      <c r="G256" s="29"/>
      <c r="H256" s="29"/>
      <c r="I256" s="29"/>
      <c r="J256" s="29"/>
      <c r="K256" s="29"/>
      <c r="L256" s="32"/>
      <c r="M256" s="29"/>
      <c r="N256" s="29"/>
      <c r="O256" s="33"/>
      <c r="P256" s="29"/>
      <c r="Q256" s="29"/>
      <c r="R256" s="32"/>
      <c r="S256" s="29"/>
      <c r="T256" s="34"/>
      <c r="U256" s="29"/>
      <c r="V256" s="29"/>
      <c r="W256" s="28"/>
      <c r="X256" s="28"/>
      <c r="Y256" s="35"/>
      <c r="Z256" s="28"/>
      <c r="AA256" s="36"/>
      <c r="AB256" s="36"/>
    </row>
    <row r="257">
      <c r="A257" s="28"/>
      <c r="B257" s="29"/>
      <c r="C257" s="29"/>
      <c r="D257" s="30"/>
      <c r="E257" s="31"/>
      <c r="F257" s="29"/>
      <c r="G257" s="29"/>
      <c r="H257" s="29"/>
      <c r="I257" s="29"/>
      <c r="J257" s="29"/>
      <c r="K257" s="29"/>
      <c r="L257" s="32"/>
      <c r="M257" s="29"/>
      <c r="N257" s="29"/>
      <c r="O257" s="33"/>
      <c r="P257" s="29"/>
      <c r="Q257" s="29"/>
      <c r="R257" s="32"/>
      <c r="S257" s="29"/>
      <c r="T257" s="34"/>
      <c r="U257" s="29"/>
      <c r="V257" s="29"/>
      <c r="W257" s="28"/>
      <c r="X257" s="28"/>
      <c r="Y257" s="35"/>
      <c r="Z257" s="28"/>
      <c r="AA257" s="36"/>
      <c r="AB257" s="36"/>
    </row>
    <row r="258">
      <c r="A258" s="28"/>
      <c r="B258" s="29"/>
      <c r="C258" s="29"/>
      <c r="D258" s="30"/>
      <c r="E258" s="31"/>
      <c r="F258" s="29"/>
      <c r="G258" s="29"/>
      <c r="H258" s="29"/>
      <c r="I258" s="29"/>
      <c r="J258" s="29"/>
      <c r="K258" s="29"/>
      <c r="L258" s="32"/>
      <c r="M258" s="29"/>
      <c r="N258" s="29"/>
      <c r="O258" s="33"/>
      <c r="P258" s="29"/>
      <c r="Q258" s="29"/>
      <c r="R258" s="32"/>
      <c r="S258" s="29"/>
      <c r="T258" s="34"/>
      <c r="U258" s="29"/>
      <c r="V258" s="29"/>
      <c r="W258" s="28"/>
      <c r="X258" s="28"/>
      <c r="Y258" s="35"/>
      <c r="Z258" s="28"/>
      <c r="AA258" s="36"/>
      <c r="AB258" s="36"/>
    </row>
    <row r="259">
      <c r="A259" s="28"/>
      <c r="B259" s="29"/>
      <c r="C259" s="29"/>
      <c r="D259" s="30"/>
      <c r="E259" s="31"/>
      <c r="F259" s="29"/>
      <c r="G259" s="29"/>
      <c r="H259" s="29"/>
      <c r="I259" s="29"/>
      <c r="J259" s="29"/>
      <c r="K259" s="29"/>
      <c r="L259" s="32"/>
      <c r="M259" s="29"/>
      <c r="N259" s="29"/>
      <c r="O259" s="33"/>
      <c r="P259" s="29"/>
      <c r="Q259" s="29"/>
      <c r="R259" s="32"/>
      <c r="S259" s="29"/>
      <c r="T259" s="34"/>
      <c r="U259" s="29"/>
      <c r="V259" s="29"/>
      <c r="W259" s="28"/>
      <c r="X259" s="28"/>
      <c r="Y259" s="35"/>
      <c r="Z259" s="28"/>
      <c r="AA259" s="36"/>
      <c r="AB259" s="36"/>
    </row>
    <row r="260">
      <c r="A260" s="28"/>
      <c r="B260" s="29"/>
      <c r="C260" s="29"/>
      <c r="D260" s="30"/>
      <c r="E260" s="31"/>
      <c r="F260" s="29"/>
      <c r="G260" s="29"/>
      <c r="H260" s="29"/>
      <c r="I260" s="29"/>
      <c r="J260" s="29"/>
      <c r="K260" s="29"/>
      <c r="L260" s="32"/>
      <c r="M260" s="29"/>
      <c r="N260" s="29"/>
      <c r="O260" s="33"/>
      <c r="P260" s="29"/>
      <c r="Q260" s="29"/>
      <c r="R260" s="32"/>
      <c r="S260" s="29"/>
      <c r="T260" s="34"/>
      <c r="U260" s="29"/>
      <c r="V260" s="29"/>
      <c r="W260" s="28"/>
      <c r="X260" s="28"/>
      <c r="Y260" s="35"/>
      <c r="Z260" s="28"/>
      <c r="AA260" s="36"/>
      <c r="AB260" s="36"/>
    </row>
    <row r="261">
      <c r="A261" s="28"/>
      <c r="B261" s="29"/>
      <c r="C261" s="29"/>
      <c r="D261" s="30"/>
      <c r="E261" s="31"/>
      <c r="F261" s="29"/>
      <c r="G261" s="29"/>
      <c r="H261" s="29"/>
      <c r="I261" s="29"/>
      <c r="J261" s="29"/>
      <c r="K261" s="29"/>
      <c r="L261" s="32"/>
      <c r="M261" s="29"/>
      <c r="N261" s="29"/>
      <c r="O261" s="33"/>
      <c r="P261" s="29"/>
      <c r="Q261" s="29"/>
      <c r="R261" s="32"/>
      <c r="S261" s="29"/>
      <c r="T261" s="34"/>
      <c r="U261" s="29"/>
      <c r="V261" s="29"/>
      <c r="W261" s="28"/>
      <c r="X261" s="28"/>
      <c r="Y261" s="35"/>
      <c r="Z261" s="28"/>
      <c r="AA261" s="36"/>
      <c r="AB261" s="36"/>
    </row>
    <row r="262">
      <c r="A262" s="28"/>
      <c r="B262" s="29"/>
      <c r="C262" s="29"/>
      <c r="D262" s="30"/>
      <c r="E262" s="31"/>
      <c r="F262" s="29"/>
      <c r="G262" s="29"/>
      <c r="H262" s="29"/>
      <c r="I262" s="29"/>
      <c r="J262" s="29"/>
      <c r="K262" s="29"/>
      <c r="L262" s="32"/>
      <c r="M262" s="29"/>
      <c r="N262" s="29"/>
      <c r="O262" s="33"/>
      <c r="P262" s="29"/>
      <c r="Q262" s="29"/>
      <c r="R262" s="32"/>
      <c r="S262" s="29"/>
      <c r="T262" s="34"/>
      <c r="U262" s="29"/>
      <c r="V262" s="29"/>
      <c r="W262" s="28"/>
      <c r="X262" s="28"/>
      <c r="Y262" s="35"/>
      <c r="Z262" s="28"/>
      <c r="AA262" s="36"/>
      <c r="AB262" s="36"/>
    </row>
    <row r="263">
      <c r="A263" s="28"/>
      <c r="B263" s="29"/>
      <c r="C263" s="29"/>
      <c r="D263" s="30"/>
      <c r="E263" s="31"/>
      <c r="F263" s="29"/>
      <c r="G263" s="29"/>
      <c r="H263" s="29"/>
      <c r="I263" s="29"/>
      <c r="J263" s="29"/>
      <c r="K263" s="29"/>
      <c r="L263" s="32"/>
      <c r="M263" s="29"/>
      <c r="N263" s="29"/>
      <c r="O263" s="33"/>
      <c r="P263" s="29"/>
      <c r="Q263" s="29"/>
      <c r="R263" s="32"/>
      <c r="S263" s="29"/>
      <c r="T263" s="34"/>
      <c r="U263" s="29"/>
      <c r="V263" s="29"/>
      <c r="W263" s="28"/>
      <c r="X263" s="28"/>
      <c r="Y263" s="35"/>
      <c r="Z263" s="28"/>
      <c r="AA263" s="36"/>
      <c r="AB263" s="36"/>
    </row>
    <row r="264">
      <c r="A264" s="28"/>
      <c r="B264" s="29"/>
      <c r="C264" s="29"/>
      <c r="D264" s="30"/>
      <c r="E264" s="31"/>
      <c r="F264" s="29"/>
      <c r="G264" s="29"/>
      <c r="H264" s="29"/>
      <c r="I264" s="29"/>
      <c r="J264" s="29"/>
      <c r="K264" s="29"/>
      <c r="L264" s="32"/>
      <c r="M264" s="29"/>
      <c r="N264" s="29"/>
      <c r="O264" s="33"/>
      <c r="P264" s="29"/>
      <c r="Q264" s="29"/>
      <c r="R264" s="32"/>
      <c r="S264" s="29"/>
      <c r="T264" s="34"/>
      <c r="U264" s="29"/>
      <c r="V264" s="29"/>
      <c r="W264" s="28"/>
      <c r="X264" s="28"/>
      <c r="Y264" s="35"/>
      <c r="Z264" s="28"/>
      <c r="AA264" s="36"/>
      <c r="AB264" s="36"/>
    </row>
    <row r="265">
      <c r="A265" s="28"/>
      <c r="B265" s="29"/>
      <c r="C265" s="29"/>
      <c r="D265" s="30"/>
      <c r="E265" s="31"/>
      <c r="F265" s="29"/>
      <c r="G265" s="29"/>
      <c r="H265" s="29"/>
      <c r="I265" s="29"/>
      <c r="J265" s="29"/>
      <c r="K265" s="29"/>
      <c r="L265" s="32"/>
      <c r="M265" s="29"/>
      <c r="N265" s="29"/>
      <c r="O265" s="33"/>
      <c r="P265" s="29"/>
      <c r="Q265" s="29"/>
      <c r="R265" s="32"/>
      <c r="S265" s="29"/>
      <c r="T265" s="34"/>
      <c r="U265" s="29"/>
      <c r="V265" s="29"/>
      <c r="W265" s="28"/>
      <c r="X265" s="28"/>
      <c r="Y265" s="35"/>
      <c r="Z265" s="28"/>
      <c r="AA265" s="36"/>
      <c r="AB265" s="36"/>
    </row>
    <row r="266">
      <c r="A266" s="28"/>
      <c r="B266" s="29"/>
      <c r="C266" s="29"/>
      <c r="D266" s="30"/>
      <c r="E266" s="31"/>
      <c r="F266" s="29"/>
      <c r="G266" s="29"/>
      <c r="H266" s="29"/>
      <c r="I266" s="29"/>
      <c r="J266" s="29"/>
      <c r="K266" s="29"/>
      <c r="L266" s="32"/>
      <c r="M266" s="29"/>
      <c r="N266" s="29"/>
      <c r="O266" s="33"/>
      <c r="P266" s="29"/>
      <c r="Q266" s="29"/>
      <c r="R266" s="32"/>
      <c r="S266" s="29"/>
      <c r="T266" s="34"/>
      <c r="U266" s="29"/>
      <c r="V266" s="29"/>
      <c r="W266" s="28"/>
      <c r="X266" s="28"/>
      <c r="Y266" s="35"/>
      <c r="Z266" s="28"/>
      <c r="AA266" s="36"/>
      <c r="AB266" s="36"/>
    </row>
    <row r="267">
      <c r="A267" s="28"/>
      <c r="B267" s="29"/>
      <c r="C267" s="29"/>
      <c r="D267" s="30"/>
      <c r="E267" s="31"/>
      <c r="F267" s="29"/>
      <c r="G267" s="29"/>
      <c r="H267" s="29"/>
      <c r="I267" s="29"/>
      <c r="J267" s="29"/>
      <c r="K267" s="29"/>
      <c r="L267" s="32"/>
      <c r="M267" s="29"/>
      <c r="N267" s="29"/>
      <c r="O267" s="33"/>
      <c r="P267" s="29"/>
      <c r="Q267" s="29"/>
      <c r="R267" s="32"/>
      <c r="S267" s="29"/>
      <c r="T267" s="34"/>
      <c r="U267" s="29"/>
      <c r="V267" s="29"/>
      <c r="W267" s="28"/>
      <c r="X267" s="28"/>
      <c r="Y267" s="35"/>
      <c r="Z267" s="28"/>
      <c r="AA267" s="36"/>
      <c r="AB267" s="36"/>
    </row>
    <row r="268">
      <c r="A268" s="28"/>
      <c r="B268" s="29"/>
      <c r="C268" s="29"/>
      <c r="D268" s="30"/>
      <c r="E268" s="31"/>
      <c r="F268" s="29"/>
      <c r="G268" s="29"/>
      <c r="H268" s="29"/>
      <c r="I268" s="29"/>
      <c r="J268" s="29"/>
      <c r="K268" s="29"/>
      <c r="L268" s="32"/>
      <c r="M268" s="29"/>
      <c r="N268" s="29"/>
      <c r="O268" s="33"/>
      <c r="P268" s="29"/>
      <c r="Q268" s="29"/>
      <c r="R268" s="32"/>
      <c r="S268" s="29"/>
      <c r="T268" s="34"/>
      <c r="U268" s="29"/>
      <c r="V268" s="29"/>
      <c r="W268" s="28"/>
      <c r="X268" s="28"/>
      <c r="Y268" s="35"/>
      <c r="Z268" s="28"/>
      <c r="AA268" s="36"/>
      <c r="AB268" s="36"/>
    </row>
    <row r="269">
      <c r="A269" s="28"/>
      <c r="B269" s="29"/>
      <c r="C269" s="29"/>
      <c r="D269" s="30"/>
      <c r="E269" s="31"/>
      <c r="F269" s="29"/>
      <c r="G269" s="29"/>
      <c r="H269" s="29"/>
      <c r="I269" s="29"/>
      <c r="J269" s="29"/>
      <c r="K269" s="29"/>
      <c r="L269" s="32"/>
      <c r="M269" s="29"/>
      <c r="N269" s="29"/>
      <c r="O269" s="33"/>
      <c r="P269" s="29"/>
      <c r="Q269" s="29"/>
      <c r="R269" s="32"/>
      <c r="S269" s="29"/>
      <c r="T269" s="34"/>
      <c r="U269" s="29"/>
      <c r="V269" s="29"/>
      <c r="W269" s="28"/>
      <c r="X269" s="28"/>
      <c r="Y269" s="35"/>
      <c r="Z269" s="28"/>
      <c r="AA269" s="36"/>
      <c r="AB269" s="36"/>
    </row>
    <row r="270">
      <c r="A270" s="28"/>
      <c r="B270" s="29"/>
      <c r="C270" s="29"/>
      <c r="D270" s="30"/>
      <c r="E270" s="31"/>
      <c r="F270" s="29"/>
      <c r="G270" s="29"/>
      <c r="H270" s="29"/>
      <c r="I270" s="29"/>
      <c r="J270" s="29"/>
      <c r="K270" s="29"/>
      <c r="L270" s="32"/>
      <c r="M270" s="29"/>
      <c r="N270" s="29"/>
      <c r="O270" s="33"/>
      <c r="P270" s="29"/>
      <c r="Q270" s="29"/>
      <c r="R270" s="32"/>
      <c r="S270" s="29"/>
      <c r="T270" s="34"/>
      <c r="U270" s="29"/>
      <c r="V270" s="29"/>
      <c r="W270" s="28"/>
      <c r="X270" s="28"/>
      <c r="Y270" s="35"/>
      <c r="Z270" s="28"/>
      <c r="AA270" s="36"/>
      <c r="AB270" s="36"/>
    </row>
    <row r="271">
      <c r="A271" s="28"/>
      <c r="B271" s="29"/>
      <c r="C271" s="29"/>
      <c r="D271" s="30"/>
      <c r="E271" s="31"/>
      <c r="F271" s="29"/>
      <c r="G271" s="29"/>
      <c r="H271" s="29"/>
      <c r="I271" s="29"/>
      <c r="J271" s="29"/>
      <c r="K271" s="29"/>
      <c r="L271" s="32"/>
      <c r="M271" s="29"/>
      <c r="N271" s="29"/>
      <c r="O271" s="33"/>
      <c r="P271" s="29"/>
      <c r="Q271" s="29"/>
      <c r="R271" s="32"/>
      <c r="S271" s="29"/>
      <c r="T271" s="34"/>
      <c r="U271" s="29"/>
      <c r="V271" s="29"/>
      <c r="W271" s="28"/>
      <c r="X271" s="28"/>
      <c r="Y271" s="35"/>
      <c r="Z271" s="28"/>
      <c r="AA271" s="36"/>
      <c r="AB271" s="36"/>
    </row>
    <row r="272">
      <c r="A272" s="28"/>
      <c r="B272" s="29"/>
      <c r="C272" s="29"/>
      <c r="D272" s="30"/>
      <c r="E272" s="31"/>
      <c r="F272" s="29"/>
      <c r="G272" s="29"/>
      <c r="H272" s="29"/>
      <c r="I272" s="29"/>
      <c r="J272" s="29"/>
      <c r="K272" s="29"/>
      <c r="L272" s="32"/>
      <c r="M272" s="29"/>
      <c r="N272" s="29"/>
      <c r="O272" s="33"/>
      <c r="P272" s="29"/>
      <c r="Q272" s="29"/>
      <c r="R272" s="32"/>
      <c r="S272" s="29"/>
      <c r="T272" s="34"/>
      <c r="U272" s="29"/>
      <c r="V272" s="29"/>
      <c r="W272" s="28"/>
      <c r="X272" s="28"/>
      <c r="Y272" s="35"/>
      <c r="Z272" s="28"/>
      <c r="AA272" s="36"/>
      <c r="AB272" s="36"/>
    </row>
    <row r="273">
      <c r="A273" s="28"/>
      <c r="B273" s="29"/>
      <c r="C273" s="29"/>
      <c r="D273" s="30"/>
      <c r="E273" s="31"/>
      <c r="F273" s="29"/>
      <c r="G273" s="29"/>
      <c r="H273" s="29"/>
      <c r="I273" s="29"/>
      <c r="J273" s="29"/>
      <c r="K273" s="29"/>
      <c r="L273" s="32"/>
      <c r="M273" s="29"/>
      <c r="N273" s="29"/>
      <c r="O273" s="33"/>
      <c r="P273" s="29"/>
      <c r="Q273" s="29"/>
      <c r="R273" s="32"/>
      <c r="S273" s="29"/>
      <c r="T273" s="34"/>
      <c r="U273" s="29"/>
      <c r="V273" s="29"/>
      <c r="W273" s="28"/>
      <c r="X273" s="28"/>
      <c r="Y273" s="35"/>
      <c r="Z273" s="28"/>
      <c r="AA273" s="36"/>
      <c r="AB273" s="36"/>
    </row>
    <row r="274">
      <c r="A274" s="28"/>
      <c r="B274" s="29"/>
      <c r="C274" s="29"/>
      <c r="D274" s="30"/>
      <c r="E274" s="31"/>
      <c r="F274" s="29"/>
      <c r="G274" s="29"/>
      <c r="H274" s="29"/>
      <c r="I274" s="29"/>
      <c r="J274" s="29"/>
      <c r="K274" s="29"/>
      <c r="L274" s="32"/>
      <c r="M274" s="29"/>
      <c r="N274" s="29"/>
      <c r="O274" s="33"/>
      <c r="P274" s="29"/>
      <c r="Q274" s="29"/>
      <c r="R274" s="32"/>
      <c r="S274" s="29"/>
      <c r="T274" s="34"/>
      <c r="U274" s="29"/>
      <c r="V274" s="29"/>
      <c r="W274" s="28"/>
      <c r="X274" s="28"/>
      <c r="Y274" s="35"/>
      <c r="Z274" s="28"/>
      <c r="AA274" s="36"/>
      <c r="AB274" s="36"/>
    </row>
    <row r="275">
      <c r="A275" s="28"/>
      <c r="B275" s="29"/>
      <c r="C275" s="29"/>
      <c r="D275" s="30"/>
      <c r="E275" s="31"/>
      <c r="F275" s="29"/>
      <c r="G275" s="29"/>
      <c r="H275" s="29"/>
      <c r="I275" s="29"/>
      <c r="J275" s="29"/>
      <c r="K275" s="29"/>
      <c r="L275" s="32"/>
      <c r="M275" s="29"/>
      <c r="N275" s="29"/>
      <c r="O275" s="33"/>
      <c r="P275" s="29"/>
      <c r="Q275" s="29"/>
      <c r="R275" s="32"/>
      <c r="S275" s="29"/>
      <c r="T275" s="34"/>
      <c r="U275" s="29"/>
      <c r="V275" s="29"/>
      <c r="W275" s="28"/>
      <c r="X275" s="28"/>
      <c r="Y275" s="35"/>
      <c r="Z275" s="28"/>
      <c r="AA275" s="36"/>
      <c r="AB275" s="36"/>
    </row>
    <row r="276">
      <c r="A276" s="28"/>
      <c r="B276" s="29"/>
      <c r="C276" s="29"/>
      <c r="D276" s="30"/>
      <c r="E276" s="31"/>
      <c r="F276" s="29"/>
      <c r="G276" s="29"/>
      <c r="H276" s="29"/>
      <c r="I276" s="29"/>
      <c r="J276" s="29"/>
      <c r="K276" s="29"/>
      <c r="L276" s="32"/>
      <c r="M276" s="29"/>
      <c r="N276" s="29"/>
      <c r="O276" s="33"/>
      <c r="P276" s="29"/>
      <c r="Q276" s="29"/>
      <c r="R276" s="32"/>
      <c r="S276" s="29"/>
      <c r="T276" s="34"/>
      <c r="U276" s="29"/>
      <c r="V276" s="29"/>
      <c r="W276" s="28"/>
      <c r="X276" s="28"/>
      <c r="Y276" s="35"/>
      <c r="Z276" s="28"/>
      <c r="AA276" s="36"/>
      <c r="AB276" s="36"/>
    </row>
    <row r="277">
      <c r="A277" s="28"/>
      <c r="B277" s="29"/>
      <c r="C277" s="29"/>
      <c r="D277" s="30"/>
      <c r="E277" s="31"/>
      <c r="F277" s="29"/>
      <c r="G277" s="29"/>
      <c r="H277" s="29"/>
      <c r="I277" s="29"/>
      <c r="J277" s="29"/>
      <c r="K277" s="29"/>
      <c r="L277" s="32"/>
      <c r="M277" s="29"/>
      <c r="N277" s="29"/>
      <c r="O277" s="33"/>
      <c r="P277" s="29"/>
      <c r="Q277" s="29"/>
      <c r="R277" s="32"/>
      <c r="S277" s="29"/>
      <c r="T277" s="34"/>
      <c r="U277" s="29"/>
      <c r="V277" s="29"/>
      <c r="W277" s="28"/>
      <c r="X277" s="28"/>
      <c r="Y277" s="35"/>
      <c r="Z277" s="28"/>
      <c r="AA277" s="36"/>
      <c r="AB277" s="36"/>
    </row>
    <row r="278">
      <c r="A278" s="28"/>
      <c r="B278" s="29"/>
      <c r="C278" s="29"/>
      <c r="D278" s="30"/>
      <c r="E278" s="31"/>
      <c r="F278" s="29"/>
      <c r="G278" s="29"/>
      <c r="H278" s="29"/>
      <c r="I278" s="29"/>
      <c r="J278" s="29"/>
      <c r="K278" s="29"/>
      <c r="L278" s="32"/>
      <c r="M278" s="29"/>
      <c r="N278" s="29"/>
      <c r="O278" s="33"/>
      <c r="P278" s="29"/>
      <c r="Q278" s="29"/>
      <c r="R278" s="32"/>
      <c r="S278" s="29"/>
      <c r="T278" s="34"/>
      <c r="U278" s="29"/>
      <c r="V278" s="29"/>
      <c r="W278" s="28"/>
      <c r="X278" s="28"/>
      <c r="Y278" s="35"/>
      <c r="Z278" s="28"/>
      <c r="AA278" s="36"/>
      <c r="AB278" s="36"/>
    </row>
    <row r="279">
      <c r="A279" s="28"/>
      <c r="B279" s="29"/>
      <c r="C279" s="29"/>
      <c r="D279" s="30"/>
      <c r="E279" s="31"/>
      <c r="F279" s="29"/>
      <c r="G279" s="29"/>
      <c r="H279" s="29"/>
      <c r="I279" s="29"/>
      <c r="J279" s="29"/>
      <c r="K279" s="29"/>
      <c r="L279" s="32"/>
      <c r="M279" s="29"/>
      <c r="N279" s="29"/>
      <c r="O279" s="33"/>
      <c r="P279" s="29"/>
      <c r="Q279" s="29"/>
      <c r="R279" s="32"/>
      <c r="S279" s="29"/>
      <c r="T279" s="34"/>
      <c r="U279" s="29"/>
      <c r="V279" s="29"/>
      <c r="W279" s="28"/>
      <c r="X279" s="28"/>
      <c r="Y279" s="35"/>
      <c r="Z279" s="28"/>
      <c r="AA279" s="36"/>
      <c r="AB279" s="36"/>
    </row>
    <row r="280">
      <c r="A280" s="28"/>
      <c r="B280" s="29"/>
      <c r="C280" s="29"/>
      <c r="D280" s="30"/>
      <c r="E280" s="31"/>
      <c r="F280" s="29"/>
      <c r="G280" s="29"/>
      <c r="H280" s="29"/>
      <c r="I280" s="29"/>
      <c r="J280" s="29"/>
      <c r="K280" s="29"/>
      <c r="L280" s="32"/>
      <c r="M280" s="29"/>
      <c r="N280" s="29"/>
      <c r="O280" s="33"/>
      <c r="P280" s="29"/>
      <c r="Q280" s="29"/>
      <c r="R280" s="32"/>
      <c r="S280" s="29"/>
      <c r="T280" s="34"/>
      <c r="U280" s="29"/>
      <c r="V280" s="29"/>
      <c r="W280" s="28"/>
      <c r="X280" s="28"/>
      <c r="Y280" s="35"/>
      <c r="Z280" s="28"/>
      <c r="AA280" s="36"/>
      <c r="AB280" s="36"/>
    </row>
    <row r="281">
      <c r="A281" s="28"/>
      <c r="B281" s="29"/>
      <c r="C281" s="29"/>
      <c r="D281" s="30"/>
      <c r="E281" s="31"/>
      <c r="F281" s="29"/>
      <c r="G281" s="29"/>
      <c r="H281" s="29"/>
      <c r="I281" s="29"/>
      <c r="J281" s="29"/>
      <c r="K281" s="29"/>
      <c r="L281" s="32"/>
      <c r="M281" s="29"/>
      <c r="N281" s="29"/>
      <c r="O281" s="33"/>
      <c r="P281" s="29"/>
      <c r="Q281" s="29"/>
      <c r="R281" s="32"/>
      <c r="S281" s="29"/>
      <c r="T281" s="34"/>
      <c r="U281" s="29"/>
      <c r="V281" s="29"/>
      <c r="W281" s="28"/>
      <c r="X281" s="28"/>
      <c r="Y281" s="35"/>
      <c r="Z281" s="28"/>
      <c r="AA281" s="36"/>
      <c r="AB281" s="36"/>
    </row>
    <row r="282">
      <c r="A282" s="28"/>
      <c r="B282" s="29"/>
      <c r="C282" s="29"/>
      <c r="D282" s="30"/>
      <c r="E282" s="31"/>
      <c r="F282" s="29"/>
      <c r="G282" s="29"/>
      <c r="H282" s="29"/>
      <c r="I282" s="29"/>
      <c r="J282" s="29"/>
      <c r="K282" s="29"/>
      <c r="L282" s="32"/>
      <c r="M282" s="29"/>
      <c r="N282" s="29"/>
      <c r="O282" s="33"/>
      <c r="P282" s="29"/>
      <c r="Q282" s="29"/>
      <c r="R282" s="32"/>
      <c r="S282" s="29"/>
      <c r="T282" s="34"/>
      <c r="U282" s="29"/>
      <c r="V282" s="29"/>
      <c r="W282" s="28"/>
      <c r="X282" s="28"/>
      <c r="Y282" s="35"/>
      <c r="Z282" s="28"/>
      <c r="AA282" s="36"/>
      <c r="AB282" s="36"/>
    </row>
    <row r="283">
      <c r="A283" s="28"/>
      <c r="B283" s="29"/>
      <c r="C283" s="29"/>
      <c r="D283" s="30"/>
      <c r="E283" s="31"/>
      <c r="F283" s="29"/>
      <c r="G283" s="29"/>
      <c r="H283" s="29"/>
      <c r="I283" s="29"/>
      <c r="J283" s="29"/>
      <c r="K283" s="29"/>
      <c r="L283" s="32"/>
      <c r="M283" s="29"/>
      <c r="N283" s="29"/>
      <c r="O283" s="33"/>
      <c r="P283" s="29"/>
      <c r="Q283" s="29"/>
      <c r="R283" s="32"/>
      <c r="S283" s="29"/>
      <c r="T283" s="34"/>
      <c r="U283" s="29"/>
      <c r="V283" s="29"/>
      <c r="W283" s="28"/>
      <c r="X283" s="28"/>
      <c r="Y283" s="35"/>
      <c r="Z283" s="28"/>
      <c r="AA283" s="36"/>
      <c r="AB283" s="36"/>
    </row>
    <row r="284">
      <c r="A284" s="28"/>
      <c r="B284" s="29"/>
      <c r="C284" s="29"/>
      <c r="D284" s="30"/>
      <c r="E284" s="31"/>
      <c r="F284" s="29"/>
      <c r="G284" s="29"/>
      <c r="H284" s="29"/>
      <c r="I284" s="29"/>
      <c r="J284" s="29"/>
      <c r="K284" s="29"/>
      <c r="L284" s="32"/>
      <c r="M284" s="29"/>
      <c r="N284" s="29"/>
      <c r="O284" s="33"/>
      <c r="P284" s="29"/>
      <c r="Q284" s="29"/>
      <c r="R284" s="32"/>
      <c r="S284" s="29"/>
      <c r="T284" s="34"/>
      <c r="U284" s="29"/>
      <c r="V284" s="29"/>
      <c r="W284" s="28"/>
      <c r="X284" s="28"/>
      <c r="Y284" s="35"/>
      <c r="Z284" s="28"/>
      <c r="AA284" s="36"/>
      <c r="AB284" s="36"/>
    </row>
    <row r="285">
      <c r="A285" s="28"/>
      <c r="B285" s="29"/>
      <c r="C285" s="29"/>
      <c r="D285" s="30"/>
      <c r="E285" s="31"/>
      <c r="F285" s="29"/>
      <c r="G285" s="29"/>
      <c r="H285" s="29"/>
      <c r="I285" s="29"/>
      <c r="J285" s="29"/>
      <c r="K285" s="29"/>
      <c r="L285" s="32"/>
      <c r="M285" s="29"/>
      <c r="N285" s="29"/>
      <c r="O285" s="33"/>
      <c r="P285" s="29"/>
      <c r="Q285" s="29"/>
      <c r="R285" s="32"/>
      <c r="S285" s="29"/>
      <c r="T285" s="34"/>
      <c r="U285" s="29"/>
      <c r="V285" s="29"/>
      <c r="W285" s="28"/>
      <c r="X285" s="28"/>
      <c r="Y285" s="35"/>
      <c r="Z285" s="28"/>
      <c r="AA285" s="36"/>
      <c r="AB285" s="36"/>
    </row>
    <row r="286">
      <c r="A286" s="28"/>
      <c r="B286" s="29"/>
      <c r="C286" s="29"/>
      <c r="D286" s="30"/>
      <c r="E286" s="31"/>
      <c r="F286" s="29"/>
      <c r="G286" s="29"/>
      <c r="H286" s="29"/>
      <c r="I286" s="29"/>
      <c r="J286" s="29"/>
      <c r="K286" s="29"/>
      <c r="L286" s="32"/>
      <c r="M286" s="29"/>
      <c r="N286" s="29"/>
      <c r="O286" s="33"/>
      <c r="P286" s="29"/>
      <c r="Q286" s="29"/>
      <c r="R286" s="32"/>
      <c r="S286" s="29"/>
      <c r="T286" s="34"/>
      <c r="U286" s="29"/>
      <c r="V286" s="29"/>
      <c r="W286" s="28"/>
      <c r="X286" s="28"/>
      <c r="Y286" s="35"/>
      <c r="Z286" s="28"/>
      <c r="AA286" s="36"/>
      <c r="AB286" s="36"/>
    </row>
    <row r="287">
      <c r="A287" s="28"/>
      <c r="B287" s="29"/>
      <c r="C287" s="29"/>
      <c r="D287" s="30"/>
      <c r="E287" s="31"/>
      <c r="F287" s="29"/>
      <c r="G287" s="29"/>
      <c r="H287" s="29"/>
      <c r="I287" s="29"/>
      <c r="J287" s="29"/>
      <c r="K287" s="29"/>
      <c r="L287" s="32"/>
      <c r="M287" s="29"/>
      <c r="N287" s="29"/>
      <c r="O287" s="33"/>
      <c r="P287" s="29"/>
      <c r="Q287" s="29"/>
      <c r="R287" s="32"/>
      <c r="S287" s="29"/>
      <c r="T287" s="34"/>
      <c r="U287" s="29"/>
      <c r="V287" s="29"/>
      <c r="W287" s="28"/>
      <c r="X287" s="28"/>
      <c r="Y287" s="35"/>
      <c r="Z287" s="28"/>
      <c r="AA287" s="36"/>
      <c r="AB287" s="36"/>
    </row>
    <row r="288">
      <c r="A288" s="28"/>
      <c r="B288" s="29"/>
      <c r="C288" s="29"/>
      <c r="D288" s="30"/>
      <c r="E288" s="31"/>
      <c r="F288" s="29"/>
      <c r="G288" s="29"/>
      <c r="H288" s="29"/>
      <c r="I288" s="29"/>
      <c r="J288" s="29"/>
      <c r="K288" s="29"/>
      <c r="L288" s="32"/>
      <c r="M288" s="29"/>
      <c r="N288" s="29"/>
      <c r="O288" s="33"/>
      <c r="P288" s="29"/>
      <c r="Q288" s="29"/>
      <c r="R288" s="32"/>
      <c r="S288" s="29"/>
      <c r="T288" s="34"/>
      <c r="U288" s="29"/>
      <c r="V288" s="29"/>
      <c r="W288" s="28"/>
      <c r="X288" s="28"/>
      <c r="Y288" s="35"/>
      <c r="Z288" s="28"/>
      <c r="AA288" s="36"/>
      <c r="AB288" s="36"/>
    </row>
    <row r="289">
      <c r="A289" s="28"/>
      <c r="B289" s="29"/>
      <c r="C289" s="29"/>
      <c r="D289" s="30"/>
      <c r="E289" s="31"/>
      <c r="F289" s="29"/>
      <c r="G289" s="29"/>
      <c r="H289" s="29"/>
      <c r="I289" s="29"/>
      <c r="J289" s="29"/>
      <c r="K289" s="29"/>
      <c r="L289" s="32"/>
      <c r="M289" s="29"/>
      <c r="N289" s="29"/>
      <c r="O289" s="33"/>
      <c r="P289" s="29"/>
      <c r="Q289" s="29"/>
      <c r="R289" s="32"/>
      <c r="S289" s="29"/>
      <c r="T289" s="34"/>
      <c r="U289" s="29"/>
      <c r="V289" s="29"/>
      <c r="W289" s="28"/>
      <c r="X289" s="28"/>
      <c r="Y289" s="35"/>
      <c r="Z289" s="28"/>
      <c r="AA289" s="36"/>
      <c r="AB289" s="36"/>
    </row>
    <row r="290">
      <c r="A290" s="28"/>
      <c r="B290" s="29"/>
      <c r="C290" s="29"/>
      <c r="D290" s="30"/>
      <c r="E290" s="31"/>
      <c r="F290" s="29"/>
      <c r="G290" s="29"/>
      <c r="H290" s="29"/>
      <c r="I290" s="29"/>
      <c r="J290" s="29"/>
      <c r="K290" s="29"/>
      <c r="L290" s="32"/>
      <c r="M290" s="29"/>
      <c r="N290" s="29"/>
      <c r="O290" s="33"/>
      <c r="P290" s="29"/>
      <c r="Q290" s="29"/>
      <c r="R290" s="32"/>
      <c r="S290" s="29"/>
      <c r="T290" s="34"/>
      <c r="U290" s="29"/>
      <c r="V290" s="29"/>
      <c r="W290" s="28"/>
      <c r="X290" s="28"/>
      <c r="Y290" s="35"/>
      <c r="Z290" s="28"/>
      <c r="AA290" s="36"/>
      <c r="AB290" s="36"/>
    </row>
    <row r="291">
      <c r="A291" s="28"/>
      <c r="B291" s="29"/>
      <c r="C291" s="29"/>
      <c r="D291" s="30"/>
      <c r="E291" s="31"/>
      <c r="F291" s="29"/>
      <c r="G291" s="29"/>
      <c r="H291" s="29"/>
      <c r="I291" s="29"/>
      <c r="J291" s="29"/>
      <c r="K291" s="29"/>
      <c r="L291" s="32"/>
      <c r="M291" s="29"/>
      <c r="N291" s="29"/>
      <c r="O291" s="33"/>
      <c r="P291" s="29"/>
      <c r="Q291" s="29"/>
      <c r="R291" s="32"/>
      <c r="S291" s="29"/>
      <c r="T291" s="34"/>
      <c r="U291" s="29"/>
      <c r="V291" s="29"/>
      <c r="W291" s="28"/>
      <c r="X291" s="28"/>
      <c r="Y291" s="35"/>
      <c r="Z291" s="28"/>
      <c r="AA291" s="36"/>
      <c r="AB291" s="36"/>
    </row>
    <row r="292">
      <c r="A292" s="28"/>
      <c r="B292" s="29"/>
      <c r="C292" s="29"/>
      <c r="D292" s="30"/>
      <c r="E292" s="31"/>
      <c r="F292" s="29"/>
      <c r="G292" s="29"/>
      <c r="H292" s="29"/>
      <c r="I292" s="29"/>
      <c r="J292" s="29"/>
      <c r="K292" s="29"/>
      <c r="L292" s="32"/>
      <c r="M292" s="29"/>
      <c r="N292" s="29"/>
      <c r="O292" s="33"/>
      <c r="P292" s="29"/>
      <c r="Q292" s="29"/>
      <c r="R292" s="32"/>
      <c r="S292" s="29"/>
      <c r="T292" s="34"/>
      <c r="U292" s="29"/>
      <c r="V292" s="29"/>
      <c r="W292" s="28"/>
      <c r="X292" s="28"/>
      <c r="Y292" s="35"/>
      <c r="Z292" s="28"/>
      <c r="AA292" s="36"/>
      <c r="AB292" s="36"/>
    </row>
    <row r="293">
      <c r="A293" s="28"/>
      <c r="B293" s="29"/>
      <c r="C293" s="29"/>
      <c r="D293" s="30"/>
      <c r="E293" s="31"/>
      <c r="F293" s="29"/>
      <c r="G293" s="29"/>
      <c r="H293" s="29"/>
      <c r="I293" s="29"/>
      <c r="J293" s="29"/>
      <c r="K293" s="29"/>
      <c r="L293" s="32"/>
      <c r="M293" s="29"/>
      <c r="N293" s="29"/>
      <c r="O293" s="33"/>
      <c r="P293" s="29"/>
      <c r="Q293" s="29"/>
      <c r="R293" s="32"/>
      <c r="S293" s="29"/>
      <c r="T293" s="34"/>
      <c r="U293" s="29"/>
      <c r="V293" s="29"/>
      <c r="W293" s="28"/>
      <c r="X293" s="28"/>
      <c r="Y293" s="35"/>
      <c r="Z293" s="28"/>
      <c r="AA293" s="36"/>
      <c r="AB293" s="36"/>
    </row>
    <row r="294">
      <c r="A294" s="28"/>
      <c r="B294" s="29"/>
      <c r="C294" s="29"/>
      <c r="D294" s="30"/>
      <c r="E294" s="31"/>
      <c r="F294" s="29"/>
      <c r="G294" s="29"/>
      <c r="H294" s="29"/>
      <c r="I294" s="29"/>
      <c r="J294" s="29"/>
      <c r="K294" s="29"/>
      <c r="L294" s="32"/>
      <c r="M294" s="29"/>
      <c r="N294" s="29"/>
      <c r="O294" s="33"/>
      <c r="P294" s="29"/>
      <c r="Q294" s="29"/>
      <c r="R294" s="32"/>
      <c r="S294" s="29"/>
      <c r="T294" s="34"/>
      <c r="U294" s="29"/>
      <c r="V294" s="29"/>
      <c r="W294" s="28"/>
      <c r="X294" s="28"/>
      <c r="Y294" s="35"/>
      <c r="Z294" s="28"/>
      <c r="AA294" s="36"/>
      <c r="AB294" s="36"/>
    </row>
    <row r="295">
      <c r="A295" s="28"/>
      <c r="B295" s="29"/>
      <c r="C295" s="29"/>
      <c r="D295" s="30"/>
      <c r="E295" s="31"/>
      <c r="F295" s="29"/>
      <c r="G295" s="29"/>
      <c r="H295" s="29"/>
      <c r="I295" s="29"/>
      <c r="J295" s="29"/>
      <c r="K295" s="29"/>
      <c r="L295" s="32"/>
      <c r="M295" s="29"/>
      <c r="N295" s="29"/>
      <c r="O295" s="33"/>
      <c r="P295" s="29"/>
      <c r="Q295" s="29"/>
      <c r="R295" s="32"/>
      <c r="S295" s="29"/>
      <c r="T295" s="34"/>
      <c r="U295" s="29"/>
      <c r="V295" s="29"/>
      <c r="W295" s="28"/>
      <c r="X295" s="28"/>
      <c r="Y295" s="35"/>
      <c r="Z295" s="28"/>
      <c r="AA295" s="36"/>
      <c r="AB295" s="36"/>
    </row>
    <row r="296">
      <c r="A296" s="28"/>
      <c r="B296" s="29"/>
      <c r="C296" s="29"/>
      <c r="D296" s="30"/>
      <c r="E296" s="31"/>
      <c r="F296" s="29"/>
      <c r="G296" s="29"/>
      <c r="H296" s="29"/>
      <c r="I296" s="29"/>
      <c r="J296" s="29"/>
      <c r="K296" s="29"/>
      <c r="L296" s="32"/>
      <c r="M296" s="29"/>
      <c r="N296" s="29"/>
      <c r="O296" s="33"/>
      <c r="P296" s="29"/>
      <c r="Q296" s="29"/>
      <c r="R296" s="32"/>
      <c r="S296" s="29"/>
      <c r="T296" s="34"/>
      <c r="U296" s="29"/>
      <c r="V296" s="29"/>
      <c r="W296" s="28"/>
      <c r="X296" s="28"/>
      <c r="Y296" s="35"/>
      <c r="Z296" s="28"/>
      <c r="AA296" s="36"/>
      <c r="AB296" s="36"/>
    </row>
    <row r="297">
      <c r="A297" s="28"/>
      <c r="B297" s="29"/>
      <c r="C297" s="29"/>
      <c r="D297" s="30"/>
      <c r="E297" s="31"/>
      <c r="F297" s="29"/>
      <c r="G297" s="29"/>
      <c r="H297" s="29"/>
      <c r="I297" s="29"/>
      <c r="J297" s="29"/>
      <c r="K297" s="29"/>
      <c r="L297" s="32"/>
      <c r="M297" s="29"/>
      <c r="N297" s="29"/>
      <c r="O297" s="33"/>
      <c r="P297" s="29"/>
      <c r="Q297" s="29"/>
      <c r="R297" s="32"/>
      <c r="S297" s="29"/>
      <c r="T297" s="34"/>
      <c r="U297" s="29"/>
      <c r="V297" s="29"/>
      <c r="W297" s="28"/>
      <c r="X297" s="28"/>
      <c r="Y297" s="35"/>
      <c r="Z297" s="28"/>
      <c r="AA297" s="36"/>
      <c r="AB297" s="36"/>
    </row>
    <row r="298">
      <c r="A298" s="28"/>
      <c r="B298" s="29"/>
      <c r="C298" s="29"/>
      <c r="D298" s="30"/>
      <c r="E298" s="31"/>
      <c r="F298" s="29"/>
      <c r="G298" s="29"/>
      <c r="H298" s="29"/>
      <c r="I298" s="29"/>
      <c r="J298" s="29"/>
      <c r="K298" s="29"/>
      <c r="L298" s="32"/>
      <c r="M298" s="29"/>
      <c r="N298" s="29"/>
      <c r="O298" s="33"/>
      <c r="P298" s="29"/>
      <c r="Q298" s="29"/>
      <c r="R298" s="32"/>
      <c r="S298" s="29"/>
      <c r="T298" s="34"/>
      <c r="U298" s="29"/>
      <c r="V298" s="29"/>
      <c r="W298" s="28"/>
      <c r="X298" s="28"/>
      <c r="Y298" s="35"/>
      <c r="Z298" s="28"/>
      <c r="AA298" s="36"/>
      <c r="AB298" s="36"/>
    </row>
    <row r="299">
      <c r="A299" s="28"/>
      <c r="B299" s="29"/>
      <c r="C299" s="29"/>
      <c r="D299" s="30"/>
      <c r="E299" s="31"/>
      <c r="F299" s="29"/>
      <c r="G299" s="29"/>
      <c r="H299" s="29"/>
      <c r="I299" s="29"/>
      <c r="J299" s="29"/>
      <c r="K299" s="29"/>
      <c r="L299" s="32"/>
      <c r="M299" s="29"/>
      <c r="N299" s="29"/>
      <c r="O299" s="33"/>
      <c r="P299" s="29"/>
      <c r="Q299" s="29"/>
      <c r="R299" s="32"/>
      <c r="S299" s="29"/>
      <c r="T299" s="34"/>
      <c r="U299" s="29"/>
      <c r="V299" s="29"/>
      <c r="W299" s="28"/>
      <c r="X299" s="28"/>
      <c r="Y299" s="35"/>
      <c r="Z299" s="28"/>
      <c r="AA299" s="36"/>
      <c r="AB299" s="36"/>
    </row>
    <row r="300">
      <c r="A300" s="28"/>
      <c r="B300" s="29"/>
      <c r="C300" s="29"/>
      <c r="D300" s="30"/>
      <c r="E300" s="31"/>
      <c r="F300" s="29"/>
      <c r="G300" s="29"/>
      <c r="H300" s="29"/>
      <c r="I300" s="29"/>
      <c r="J300" s="29"/>
      <c r="K300" s="29"/>
      <c r="L300" s="32"/>
      <c r="M300" s="29"/>
      <c r="N300" s="29"/>
      <c r="O300" s="33"/>
      <c r="P300" s="29"/>
      <c r="Q300" s="29"/>
      <c r="R300" s="32"/>
      <c r="S300" s="29"/>
      <c r="T300" s="34"/>
      <c r="U300" s="29"/>
      <c r="V300" s="29"/>
      <c r="W300" s="28"/>
      <c r="X300" s="28"/>
      <c r="Y300" s="35"/>
      <c r="Z300" s="28"/>
      <c r="AA300" s="36"/>
      <c r="AB300" s="36"/>
    </row>
    <row r="301">
      <c r="A301" s="28"/>
      <c r="B301" s="29"/>
      <c r="C301" s="29"/>
      <c r="D301" s="30"/>
      <c r="E301" s="31"/>
      <c r="F301" s="29"/>
      <c r="G301" s="29"/>
      <c r="H301" s="29"/>
      <c r="I301" s="29"/>
      <c r="J301" s="29"/>
      <c r="K301" s="29"/>
      <c r="L301" s="32"/>
      <c r="M301" s="29"/>
      <c r="N301" s="29"/>
      <c r="O301" s="33"/>
      <c r="P301" s="29"/>
      <c r="Q301" s="29"/>
      <c r="R301" s="32"/>
      <c r="S301" s="29"/>
      <c r="T301" s="34"/>
      <c r="U301" s="29"/>
      <c r="V301" s="29"/>
      <c r="W301" s="28"/>
      <c r="X301" s="28"/>
      <c r="Y301" s="35"/>
      <c r="Z301" s="28"/>
      <c r="AA301" s="36"/>
      <c r="AB301" s="36"/>
    </row>
    <row r="302">
      <c r="A302" s="28"/>
      <c r="B302" s="29"/>
      <c r="C302" s="29"/>
      <c r="D302" s="30"/>
      <c r="E302" s="31"/>
      <c r="F302" s="29"/>
      <c r="G302" s="29"/>
      <c r="H302" s="29"/>
      <c r="I302" s="29"/>
      <c r="J302" s="29"/>
      <c r="K302" s="29"/>
      <c r="L302" s="32"/>
      <c r="M302" s="29"/>
      <c r="N302" s="29"/>
      <c r="O302" s="33"/>
      <c r="P302" s="29"/>
      <c r="Q302" s="29"/>
      <c r="R302" s="32"/>
      <c r="S302" s="29"/>
      <c r="T302" s="34"/>
      <c r="U302" s="29"/>
      <c r="V302" s="29"/>
      <c r="W302" s="28"/>
      <c r="X302" s="28"/>
      <c r="Y302" s="35"/>
      <c r="Z302" s="28"/>
      <c r="AA302" s="36"/>
      <c r="AB302" s="36"/>
    </row>
    <row r="303">
      <c r="A303" s="28"/>
      <c r="B303" s="29"/>
      <c r="C303" s="29"/>
      <c r="D303" s="30"/>
      <c r="E303" s="31"/>
      <c r="F303" s="29"/>
      <c r="G303" s="29"/>
      <c r="H303" s="29"/>
      <c r="I303" s="29"/>
      <c r="J303" s="29"/>
      <c r="K303" s="29"/>
      <c r="L303" s="32"/>
      <c r="M303" s="29"/>
      <c r="N303" s="29"/>
      <c r="O303" s="33"/>
      <c r="P303" s="29"/>
      <c r="Q303" s="29"/>
      <c r="R303" s="32"/>
      <c r="S303" s="29"/>
      <c r="T303" s="34"/>
      <c r="U303" s="29"/>
      <c r="V303" s="29"/>
      <c r="W303" s="28"/>
      <c r="X303" s="28"/>
      <c r="Y303" s="35"/>
      <c r="Z303" s="28"/>
      <c r="AA303" s="36"/>
      <c r="AB303" s="36"/>
    </row>
    <row r="304">
      <c r="A304" s="28"/>
      <c r="B304" s="29"/>
      <c r="C304" s="29"/>
      <c r="D304" s="30"/>
      <c r="E304" s="31"/>
      <c r="F304" s="29"/>
      <c r="G304" s="29"/>
      <c r="H304" s="29"/>
      <c r="I304" s="29"/>
      <c r="J304" s="29"/>
      <c r="K304" s="29"/>
      <c r="L304" s="32"/>
      <c r="M304" s="29"/>
      <c r="N304" s="29"/>
      <c r="O304" s="33"/>
      <c r="P304" s="29"/>
      <c r="Q304" s="29"/>
      <c r="R304" s="32"/>
      <c r="S304" s="29"/>
      <c r="T304" s="34"/>
      <c r="U304" s="29"/>
      <c r="V304" s="29"/>
      <c r="W304" s="28"/>
      <c r="X304" s="28"/>
      <c r="Y304" s="35"/>
      <c r="Z304" s="28"/>
      <c r="AA304" s="36"/>
      <c r="AB304" s="36"/>
    </row>
    <row r="305">
      <c r="A305" s="28"/>
      <c r="B305" s="29"/>
      <c r="C305" s="29"/>
      <c r="D305" s="30"/>
      <c r="E305" s="31"/>
      <c r="F305" s="29"/>
      <c r="G305" s="29"/>
      <c r="H305" s="29"/>
      <c r="I305" s="29"/>
      <c r="J305" s="29"/>
      <c r="K305" s="29"/>
      <c r="L305" s="32"/>
      <c r="M305" s="29"/>
      <c r="N305" s="29"/>
      <c r="O305" s="33"/>
      <c r="P305" s="29"/>
      <c r="Q305" s="29"/>
      <c r="R305" s="32"/>
      <c r="S305" s="29"/>
      <c r="T305" s="34"/>
      <c r="U305" s="29"/>
      <c r="V305" s="29"/>
      <c r="W305" s="28"/>
      <c r="X305" s="28"/>
      <c r="Y305" s="35"/>
      <c r="Z305" s="28"/>
      <c r="AA305" s="36"/>
      <c r="AB305" s="36"/>
    </row>
    <row r="306">
      <c r="A306" s="28"/>
      <c r="B306" s="29"/>
      <c r="C306" s="29"/>
      <c r="D306" s="30"/>
      <c r="E306" s="31"/>
      <c r="F306" s="29"/>
      <c r="G306" s="29"/>
      <c r="H306" s="29"/>
      <c r="I306" s="29"/>
      <c r="J306" s="29"/>
      <c r="K306" s="29"/>
      <c r="L306" s="32"/>
      <c r="M306" s="29"/>
      <c r="N306" s="29"/>
      <c r="O306" s="33"/>
      <c r="P306" s="29"/>
      <c r="Q306" s="29"/>
      <c r="R306" s="32"/>
      <c r="S306" s="29"/>
      <c r="T306" s="34"/>
      <c r="U306" s="29"/>
      <c r="V306" s="29"/>
      <c r="W306" s="28"/>
      <c r="X306" s="28"/>
      <c r="Y306" s="35"/>
      <c r="Z306" s="28"/>
      <c r="AA306" s="36"/>
      <c r="AB306" s="36"/>
    </row>
    <row r="307">
      <c r="A307" s="28"/>
      <c r="B307" s="29"/>
      <c r="C307" s="29"/>
      <c r="D307" s="30"/>
      <c r="E307" s="31"/>
      <c r="F307" s="29"/>
      <c r="G307" s="29"/>
      <c r="H307" s="29"/>
      <c r="I307" s="29"/>
      <c r="J307" s="29"/>
      <c r="K307" s="29"/>
      <c r="L307" s="32"/>
      <c r="M307" s="29"/>
      <c r="N307" s="29"/>
      <c r="O307" s="33"/>
      <c r="P307" s="29"/>
      <c r="Q307" s="29"/>
      <c r="R307" s="32"/>
      <c r="S307" s="29"/>
      <c r="T307" s="34"/>
      <c r="U307" s="29"/>
      <c r="V307" s="29"/>
      <c r="W307" s="28"/>
      <c r="X307" s="28"/>
      <c r="Y307" s="35"/>
      <c r="Z307" s="28"/>
      <c r="AA307" s="36"/>
      <c r="AB307" s="36"/>
    </row>
    <row r="308">
      <c r="A308" s="28"/>
      <c r="B308" s="29"/>
      <c r="C308" s="29"/>
      <c r="D308" s="30"/>
      <c r="E308" s="31"/>
      <c r="F308" s="29"/>
      <c r="G308" s="29"/>
      <c r="H308" s="29"/>
      <c r="I308" s="29"/>
      <c r="J308" s="29"/>
      <c r="K308" s="29"/>
      <c r="L308" s="32"/>
      <c r="M308" s="29"/>
      <c r="N308" s="29"/>
      <c r="O308" s="33"/>
      <c r="P308" s="29"/>
      <c r="Q308" s="29"/>
      <c r="R308" s="32"/>
      <c r="S308" s="29"/>
      <c r="T308" s="34"/>
      <c r="U308" s="29"/>
      <c r="V308" s="29"/>
      <c r="W308" s="28"/>
      <c r="X308" s="28"/>
      <c r="Y308" s="35"/>
      <c r="Z308" s="28"/>
      <c r="AA308" s="36"/>
      <c r="AB308" s="36"/>
    </row>
    <row r="309">
      <c r="A309" s="28"/>
      <c r="B309" s="29"/>
      <c r="C309" s="29"/>
      <c r="D309" s="30"/>
      <c r="E309" s="31"/>
      <c r="F309" s="29"/>
      <c r="G309" s="29"/>
      <c r="H309" s="29"/>
      <c r="I309" s="29"/>
      <c r="J309" s="29"/>
      <c r="K309" s="29"/>
      <c r="L309" s="32"/>
      <c r="M309" s="29"/>
      <c r="N309" s="29"/>
      <c r="O309" s="33"/>
      <c r="P309" s="29"/>
      <c r="Q309" s="29"/>
      <c r="R309" s="32"/>
      <c r="S309" s="29"/>
      <c r="T309" s="34"/>
      <c r="U309" s="29"/>
      <c r="V309" s="29"/>
      <c r="W309" s="28"/>
      <c r="X309" s="28"/>
      <c r="Y309" s="35"/>
      <c r="Z309" s="28"/>
      <c r="AA309" s="36"/>
      <c r="AB309" s="36"/>
    </row>
    <row r="310">
      <c r="A310" s="28"/>
      <c r="B310" s="29"/>
      <c r="C310" s="29"/>
      <c r="D310" s="30"/>
      <c r="E310" s="31"/>
      <c r="F310" s="29"/>
      <c r="G310" s="29"/>
      <c r="H310" s="29"/>
      <c r="I310" s="29"/>
      <c r="J310" s="29"/>
      <c r="K310" s="29"/>
      <c r="L310" s="32"/>
      <c r="M310" s="29"/>
      <c r="N310" s="29"/>
      <c r="O310" s="33"/>
      <c r="P310" s="29"/>
      <c r="Q310" s="29"/>
      <c r="R310" s="32"/>
      <c r="S310" s="29"/>
      <c r="T310" s="34"/>
      <c r="U310" s="29"/>
      <c r="V310" s="29"/>
      <c r="W310" s="28"/>
      <c r="X310" s="28"/>
      <c r="Y310" s="35"/>
      <c r="Z310" s="28"/>
      <c r="AA310" s="36"/>
      <c r="AB310" s="36"/>
    </row>
    <row r="311">
      <c r="A311" s="28"/>
      <c r="B311" s="29"/>
      <c r="C311" s="29"/>
      <c r="D311" s="30"/>
      <c r="E311" s="31"/>
      <c r="F311" s="29"/>
      <c r="G311" s="29"/>
      <c r="H311" s="29"/>
      <c r="I311" s="29"/>
      <c r="J311" s="29"/>
      <c r="K311" s="29"/>
      <c r="L311" s="32"/>
      <c r="M311" s="29"/>
      <c r="N311" s="29"/>
      <c r="O311" s="33"/>
      <c r="P311" s="29"/>
      <c r="Q311" s="29"/>
      <c r="R311" s="32"/>
      <c r="S311" s="29"/>
      <c r="T311" s="34"/>
      <c r="U311" s="29"/>
      <c r="V311" s="29"/>
      <c r="W311" s="28"/>
      <c r="X311" s="28"/>
      <c r="Y311" s="35"/>
      <c r="Z311" s="28"/>
      <c r="AA311" s="36"/>
      <c r="AB311" s="36"/>
    </row>
    <row r="312">
      <c r="A312" s="28"/>
      <c r="B312" s="29"/>
      <c r="C312" s="29"/>
      <c r="D312" s="30"/>
      <c r="E312" s="31"/>
      <c r="F312" s="29"/>
      <c r="G312" s="29"/>
      <c r="H312" s="29"/>
      <c r="I312" s="29"/>
      <c r="J312" s="29"/>
      <c r="K312" s="29"/>
      <c r="L312" s="32"/>
      <c r="M312" s="29"/>
      <c r="N312" s="29"/>
      <c r="O312" s="33"/>
      <c r="P312" s="29"/>
      <c r="Q312" s="29"/>
      <c r="R312" s="32"/>
      <c r="S312" s="29"/>
      <c r="T312" s="34"/>
      <c r="U312" s="29"/>
      <c r="V312" s="29"/>
      <c r="W312" s="28"/>
      <c r="X312" s="28"/>
      <c r="Y312" s="35"/>
      <c r="Z312" s="28"/>
      <c r="AA312" s="36"/>
      <c r="AB312" s="36"/>
    </row>
    <row r="313">
      <c r="A313" s="28"/>
      <c r="B313" s="29"/>
      <c r="C313" s="29"/>
      <c r="D313" s="30"/>
      <c r="E313" s="31"/>
      <c r="F313" s="29"/>
      <c r="G313" s="29"/>
      <c r="H313" s="29"/>
      <c r="I313" s="29"/>
      <c r="J313" s="29"/>
      <c r="K313" s="29"/>
      <c r="L313" s="32"/>
      <c r="M313" s="29"/>
      <c r="N313" s="29"/>
      <c r="O313" s="33"/>
      <c r="P313" s="29"/>
      <c r="Q313" s="29"/>
      <c r="R313" s="32"/>
      <c r="S313" s="29"/>
      <c r="T313" s="34"/>
      <c r="U313" s="29"/>
      <c r="V313" s="29"/>
      <c r="W313" s="28"/>
      <c r="X313" s="28"/>
      <c r="Y313" s="35"/>
      <c r="Z313" s="28"/>
      <c r="AA313" s="36"/>
      <c r="AB313" s="36"/>
    </row>
    <row r="314">
      <c r="A314" s="28"/>
      <c r="B314" s="29"/>
      <c r="C314" s="29"/>
      <c r="D314" s="30"/>
      <c r="E314" s="31"/>
      <c r="F314" s="29"/>
      <c r="G314" s="29"/>
      <c r="H314" s="29"/>
      <c r="I314" s="29"/>
      <c r="J314" s="29"/>
      <c r="K314" s="29"/>
      <c r="L314" s="32"/>
      <c r="M314" s="29"/>
      <c r="N314" s="29"/>
      <c r="O314" s="33"/>
      <c r="P314" s="29"/>
      <c r="Q314" s="29"/>
      <c r="R314" s="32"/>
      <c r="S314" s="29"/>
      <c r="T314" s="34"/>
      <c r="U314" s="29"/>
      <c r="V314" s="29"/>
      <c r="W314" s="28"/>
      <c r="X314" s="28"/>
      <c r="Y314" s="35"/>
      <c r="Z314" s="28"/>
      <c r="AA314" s="36"/>
      <c r="AB314" s="36"/>
    </row>
    <row r="315">
      <c r="A315" s="28"/>
      <c r="B315" s="29"/>
      <c r="C315" s="29"/>
      <c r="D315" s="30"/>
      <c r="E315" s="31"/>
      <c r="F315" s="29"/>
      <c r="G315" s="29"/>
      <c r="H315" s="29"/>
      <c r="I315" s="29"/>
      <c r="J315" s="29"/>
      <c r="K315" s="29"/>
      <c r="L315" s="32"/>
      <c r="M315" s="29"/>
      <c r="N315" s="29"/>
      <c r="O315" s="33"/>
      <c r="P315" s="29"/>
      <c r="Q315" s="29"/>
      <c r="R315" s="32"/>
      <c r="S315" s="29"/>
      <c r="T315" s="34"/>
      <c r="U315" s="29"/>
      <c r="V315" s="29"/>
      <c r="W315" s="28"/>
      <c r="X315" s="28"/>
      <c r="Y315" s="35"/>
      <c r="Z315" s="28"/>
      <c r="AA315" s="36"/>
      <c r="AB315" s="36"/>
    </row>
    <row r="316">
      <c r="A316" s="28"/>
      <c r="B316" s="29"/>
      <c r="C316" s="29"/>
      <c r="D316" s="30"/>
      <c r="E316" s="31"/>
      <c r="F316" s="29"/>
      <c r="G316" s="29"/>
      <c r="H316" s="29"/>
      <c r="I316" s="29"/>
      <c r="J316" s="29"/>
      <c r="K316" s="29"/>
      <c r="L316" s="32"/>
      <c r="M316" s="29"/>
      <c r="N316" s="29"/>
      <c r="O316" s="33"/>
      <c r="P316" s="29"/>
      <c r="Q316" s="29"/>
      <c r="R316" s="32"/>
      <c r="S316" s="29"/>
      <c r="T316" s="34"/>
      <c r="U316" s="29"/>
      <c r="V316" s="29"/>
      <c r="W316" s="28"/>
      <c r="X316" s="28"/>
      <c r="Y316" s="35"/>
      <c r="Z316" s="28"/>
      <c r="AA316" s="36"/>
      <c r="AB316" s="36"/>
    </row>
    <row r="317">
      <c r="A317" s="28"/>
      <c r="B317" s="29"/>
      <c r="C317" s="29"/>
      <c r="D317" s="30"/>
      <c r="E317" s="31"/>
      <c r="F317" s="29"/>
      <c r="G317" s="29"/>
      <c r="H317" s="29"/>
      <c r="I317" s="29"/>
      <c r="J317" s="29"/>
      <c r="K317" s="29"/>
      <c r="L317" s="32"/>
      <c r="M317" s="29"/>
      <c r="N317" s="29"/>
      <c r="O317" s="33"/>
      <c r="P317" s="29"/>
      <c r="Q317" s="29"/>
      <c r="R317" s="32"/>
      <c r="S317" s="29"/>
      <c r="T317" s="34"/>
      <c r="U317" s="29"/>
      <c r="V317" s="29"/>
      <c r="W317" s="28"/>
      <c r="X317" s="28"/>
      <c r="Y317" s="35"/>
      <c r="Z317" s="28"/>
      <c r="AA317" s="36"/>
      <c r="AB317" s="36"/>
    </row>
    <row r="318">
      <c r="A318" s="28"/>
      <c r="B318" s="29"/>
      <c r="C318" s="29"/>
      <c r="D318" s="30"/>
      <c r="E318" s="31"/>
      <c r="F318" s="29"/>
      <c r="G318" s="29"/>
      <c r="H318" s="29"/>
      <c r="I318" s="29"/>
      <c r="J318" s="29"/>
      <c r="K318" s="29"/>
      <c r="L318" s="32"/>
      <c r="M318" s="29"/>
      <c r="N318" s="29"/>
      <c r="O318" s="33"/>
      <c r="P318" s="29"/>
      <c r="Q318" s="29"/>
      <c r="R318" s="32"/>
      <c r="S318" s="29"/>
      <c r="T318" s="34"/>
      <c r="U318" s="29"/>
      <c r="V318" s="29"/>
      <c r="W318" s="28"/>
      <c r="X318" s="28"/>
      <c r="Y318" s="35"/>
      <c r="Z318" s="28"/>
      <c r="AA318" s="36"/>
      <c r="AB318" s="36"/>
    </row>
    <row r="319">
      <c r="A319" s="28"/>
      <c r="B319" s="29"/>
      <c r="C319" s="29"/>
      <c r="D319" s="30"/>
      <c r="E319" s="31"/>
      <c r="F319" s="29"/>
      <c r="G319" s="29"/>
      <c r="H319" s="29"/>
      <c r="I319" s="29"/>
      <c r="J319" s="29"/>
      <c r="K319" s="29"/>
      <c r="L319" s="32"/>
      <c r="M319" s="29"/>
      <c r="N319" s="29"/>
      <c r="O319" s="33"/>
      <c r="P319" s="29"/>
      <c r="Q319" s="29"/>
      <c r="R319" s="32"/>
      <c r="S319" s="29"/>
      <c r="T319" s="34"/>
      <c r="U319" s="29"/>
      <c r="V319" s="29"/>
      <c r="W319" s="28"/>
      <c r="X319" s="28"/>
      <c r="Y319" s="35"/>
      <c r="Z319" s="28"/>
      <c r="AA319" s="36"/>
      <c r="AB319" s="36"/>
    </row>
    <row r="320">
      <c r="A320" s="28"/>
      <c r="B320" s="29"/>
      <c r="C320" s="29"/>
      <c r="D320" s="30"/>
      <c r="E320" s="31"/>
      <c r="F320" s="29"/>
      <c r="G320" s="29"/>
      <c r="H320" s="29"/>
      <c r="I320" s="29"/>
      <c r="J320" s="29"/>
      <c r="K320" s="29"/>
      <c r="L320" s="32"/>
      <c r="M320" s="29"/>
      <c r="N320" s="29"/>
      <c r="O320" s="33"/>
      <c r="P320" s="29"/>
      <c r="Q320" s="29"/>
      <c r="R320" s="32"/>
      <c r="S320" s="29"/>
      <c r="T320" s="34"/>
      <c r="U320" s="29"/>
      <c r="V320" s="29"/>
      <c r="W320" s="28"/>
      <c r="X320" s="28"/>
      <c r="Y320" s="35"/>
      <c r="Z320" s="28"/>
      <c r="AA320" s="36"/>
      <c r="AB320" s="36"/>
    </row>
    <row r="321">
      <c r="A321" s="28"/>
      <c r="B321" s="29"/>
      <c r="C321" s="29"/>
      <c r="D321" s="30"/>
      <c r="E321" s="31"/>
      <c r="F321" s="29"/>
      <c r="G321" s="29"/>
      <c r="H321" s="29"/>
      <c r="I321" s="29"/>
      <c r="J321" s="29"/>
      <c r="K321" s="29"/>
      <c r="L321" s="32"/>
      <c r="M321" s="29"/>
      <c r="N321" s="29"/>
      <c r="O321" s="33"/>
      <c r="P321" s="29"/>
      <c r="Q321" s="29"/>
      <c r="R321" s="32"/>
      <c r="S321" s="29"/>
      <c r="T321" s="34"/>
      <c r="U321" s="29"/>
      <c r="V321" s="29"/>
      <c r="W321" s="28"/>
      <c r="X321" s="28"/>
      <c r="Y321" s="35"/>
      <c r="Z321" s="28"/>
      <c r="AA321" s="36"/>
      <c r="AB321" s="36"/>
    </row>
    <row r="322">
      <c r="A322" s="28"/>
      <c r="B322" s="29"/>
      <c r="C322" s="29"/>
      <c r="D322" s="30"/>
      <c r="E322" s="31"/>
      <c r="F322" s="29"/>
      <c r="G322" s="29"/>
      <c r="H322" s="29"/>
      <c r="I322" s="29"/>
      <c r="J322" s="29"/>
      <c r="K322" s="29"/>
      <c r="L322" s="32"/>
      <c r="M322" s="29"/>
      <c r="N322" s="29"/>
      <c r="O322" s="33"/>
      <c r="P322" s="29"/>
      <c r="Q322" s="29"/>
      <c r="R322" s="32"/>
      <c r="S322" s="29"/>
      <c r="T322" s="34"/>
      <c r="U322" s="29"/>
      <c r="V322" s="29"/>
      <c r="W322" s="28"/>
      <c r="X322" s="28"/>
      <c r="Y322" s="35"/>
      <c r="Z322" s="28"/>
      <c r="AA322" s="36"/>
      <c r="AB322" s="36"/>
    </row>
    <row r="323">
      <c r="A323" s="28"/>
      <c r="B323" s="29"/>
      <c r="C323" s="29"/>
      <c r="D323" s="30"/>
      <c r="E323" s="31"/>
      <c r="F323" s="29"/>
      <c r="G323" s="29"/>
      <c r="H323" s="29"/>
      <c r="I323" s="29"/>
      <c r="J323" s="29"/>
      <c r="K323" s="29"/>
      <c r="L323" s="32"/>
      <c r="M323" s="29"/>
      <c r="N323" s="29"/>
      <c r="O323" s="33"/>
      <c r="P323" s="29"/>
      <c r="Q323" s="29"/>
      <c r="R323" s="32"/>
      <c r="S323" s="29"/>
      <c r="T323" s="34"/>
      <c r="U323" s="29"/>
      <c r="V323" s="29"/>
      <c r="W323" s="28"/>
      <c r="X323" s="28"/>
      <c r="Y323" s="35"/>
      <c r="Z323" s="28"/>
      <c r="AA323" s="36"/>
      <c r="AB323" s="36"/>
    </row>
    <row r="324">
      <c r="A324" s="28"/>
      <c r="B324" s="29"/>
      <c r="C324" s="29"/>
      <c r="D324" s="30"/>
      <c r="E324" s="31"/>
      <c r="F324" s="29"/>
      <c r="G324" s="29"/>
      <c r="H324" s="29"/>
      <c r="I324" s="29"/>
      <c r="J324" s="29"/>
      <c r="K324" s="29"/>
      <c r="L324" s="32"/>
      <c r="M324" s="29"/>
      <c r="N324" s="29"/>
      <c r="O324" s="33"/>
      <c r="P324" s="29"/>
      <c r="Q324" s="29"/>
      <c r="R324" s="32"/>
      <c r="S324" s="29"/>
      <c r="T324" s="34"/>
      <c r="U324" s="29"/>
      <c r="V324" s="29"/>
      <c r="W324" s="28"/>
      <c r="X324" s="28"/>
      <c r="Y324" s="35"/>
      <c r="Z324" s="28"/>
      <c r="AA324" s="36"/>
      <c r="AB324" s="36"/>
    </row>
    <row r="325">
      <c r="A325" s="28"/>
      <c r="B325" s="29"/>
      <c r="C325" s="29"/>
      <c r="D325" s="30"/>
      <c r="E325" s="31"/>
      <c r="F325" s="29"/>
      <c r="G325" s="29"/>
      <c r="H325" s="29"/>
      <c r="I325" s="29"/>
      <c r="J325" s="29"/>
      <c r="K325" s="29"/>
      <c r="L325" s="32"/>
      <c r="M325" s="29"/>
      <c r="N325" s="29"/>
      <c r="O325" s="33"/>
      <c r="P325" s="29"/>
      <c r="Q325" s="29"/>
      <c r="R325" s="32"/>
      <c r="S325" s="29"/>
      <c r="T325" s="34"/>
      <c r="U325" s="29"/>
      <c r="V325" s="29"/>
      <c r="W325" s="28"/>
      <c r="X325" s="28"/>
      <c r="Y325" s="35"/>
      <c r="Z325" s="28"/>
      <c r="AA325" s="36"/>
      <c r="AB325" s="36"/>
    </row>
    <row r="326">
      <c r="A326" s="28"/>
      <c r="B326" s="29"/>
      <c r="C326" s="29"/>
      <c r="D326" s="30"/>
      <c r="E326" s="31"/>
      <c r="F326" s="29"/>
      <c r="G326" s="29"/>
      <c r="H326" s="29"/>
      <c r="I326" s="29"/>
      <c r="J326" s="29"/>
      <c r="K326" s="29"/>
      <c r="L326" s="32"/>
      <c r="M326" s="29"/>
      <c r="N326" s="29"/>
      <c r="O326" s="33"/>
      <c r="P326" s="29"/>
      <c r="Q326" s="29"/>
      <c r="R326" s="32"/>
      <c r="S326" s="29"/>
      <c r="T326" s="34"/>
      <c r="U326" s="29"/>
      <c r="V326" s="29"/>
      <c r="W326" s="28"/>
      <c r="X326" s="28"/>
      <c r="Y326" s="35"/>
      <c r="Z326" s="28"/>
      <c r="AA326" s="36"/>
      <c r="AB326" s="36"/>
    </row>
    <row r="327">
      <c r="A327" s="28"/>
      <c r="B327" s="29"/>
      <c r="C327" s="29"/>
      <c r="D327" s="30"/>
      <c r="E327" s="31"/>
      <c r="F327" s="29"/>
      <c r="G327" s="29"/>
      <c r="H327" s="29"/>
      <c r="I327" s="29"/>
      <c r="J327" s="29"/>
      <c r="K327" s="29"/>
      <c r="L327" s="32"/>
      <c r="M327" s="29"/>
      <c r="N327" s="29"/>
      <c r="O327" s="33"/>
      <c r="P327" s="29"/>
      <c r="Q327" s="29"/>
      <c r="R327" s="32"/>
      <c r="S327" s="29"/>
      <c r="T327" s="34"/>
      <c r="U327" s="29"/>
      <c r="V327" s="29"/>
      <c r="W327" s="28"/>
      <c r="X327" s="28"/>
      <c r="Y327" s="35"/>
      <c r="Z327" s="28"/>
      <c r="AA327" s="36"/>
      <c r="AB327" s="36"/>
    </row>
    <row r="328">
      <c r="A328" s="28"/>
      <c r="B328" s="29"/>
      <c r="C328" s="29"/>
      <c r="D328" s="30"/>
      <c r="E328" s="31"/>
      <c r="F328" s="29"/>
      <c r="G328" s="29"/>
      <c r="H328" s="29"/>
      <c r="I328" s="29"/>
      <c r="J328" s="29"/>
      <c r="K328" s="29"/>
      <c r="L328" s="32"/>
      <c r="M328" s="29"/>
      <c r="N328" s="29"/>
      <c r="O328" s="33"/>
      <c r="P328" s="29"/>
      <c r="Q328" s="29"/>
      <c r="R328" s="32"/>
      <c r="S328" s="29"/>
      <c r="T328" s="34"/>
      <c r="U328" s="29"/>
      <c r="V328" s="29"/>
      <c r="W328" s="28"/>
      <c r="X328" s="28"/>
      <c r="Y328" s="35"/>
      <c r="Z328" s="28"/>
      <c r="AA328" s="36"/>
      <c r="AB328" s="36"/>
    </row>
    <row r="329">
      <c r="A329" s="28"/>
      <c r="B329" s="29"/>
      <c r="C329" s="29"/>
      <c r="D329" s="30"/>
      <c r="E329" s="31"/>
      <c r="F329" s="29"/>
      <c r="G329" s="29"/>
      <c r="H329" s="29"/>
      <c r="I329" s="29"/>
      <c r="J329" s="29"/>
      <c r="K329" s="29"/>
      <c r="L329" s="32"/>
      <c r="M329" s="29"/>
      <c r="N329" s="29"/>
      <c r="O329" s="33"/>
      <c r="P329" s="29"/>
      <c r="Q329" s="29"/>
      <c r="R329" s="32"/>
      <c r="S329" s="29"/>
      <c r="T329" s="34"/>
      <c r="U329" s="29"/>
      <c r="V329" s="29"/>
      <c r="W329" s="28"/>
      <c r="X329" s="28"/>
      <c r="Y329" s="35"/>
      <c r="Z329" s="28"/>
      <c r="AA329" s="36"/>
      <c r="AB329" s="36"/>
    </row>
    <row r="330">
      <c r="A330" s="28"/>
      <c r="B330" s="29"/>
      <c r="C330" s="29"/>
      <c r="D330" s="30"/>
      <c r="E330" s="31"/>
      <c r="F330" s="29"/>
      <c r="G330" s="29"/>
      <c r="H330" s="29"/>
      <c r="I330" s="29"/>
      <c r="J330" s="29"/>
      <c r="K330" s="29"/>
      <c r="L330" s="32"/>
      <c r="M330" s="29"/>
      <c r="N330" s="29"/>
      <c r="O330" s="33"/>
      <c r="P330" s="29"/>
      <c r="Q330" s="29"/>
      <c r="R330" s="32"/>
      <c r="S330" s="29"/>
      <c r="T330" s="34"/>
      <c r="U330" s="29"/>
      <c r="V330" s="29"/>
      <c r="W330" s="28"/>
      <c r="X330" s="28"/>
      <c r="Y330" s="35"/>
      <c r="Z330" s="28"/>
      <c r="AA330" s="36"/>
      <c r="AB330" s="36"/>
    </row>
    <row r="331">
      <c r="A331" s="28"/>
      <c r="B331" s="29"/>
      <c r="C331" s="29"/>
      <c r="D331" s="30"/>
      <c r="E331" s="31"/>
      <c r="F331" s="29"/>
      <c r="G331" s="29"/>
      <c r="H331" s="29"/>
      <c r="I331" s="29"/>
      <c r="J331" s="29"/>
      <c r="K331" s="29"/>
      <c r="L331" s="32"/>
      <c r="M331" s="29"/>
      <c r="N331" s="29"/>
      <c r="O331" s="33"/>
      <c r="P331" s="29"/>
      <c r="Q331" s="29"/>
      <c r="R331" s="32"/>
      <c r="S331" s="29"/>
      <c r="T331" s="34"/>
      <c r="U331" s="29"/>
      <c r="V331" s="29"/>
      <c r="W331" s="28"/>
      <c r="X331" s="28"/>
      <c r="Y331" s="35"/>
      <c r="Z331" s="28"/>
      <c r="AA331" s="36"/>
      <c r="AB331" s="36"/>
    </row>
    <row r="332">
      <c r="A332" s="28"/>
      <c r="B332" s="29"/>
      <c r="C332" s="29"/>
      <c r="D332" s="30"/>
      <c r="E332" s="31"/>
      <c r="F332" s="29"/>
      <c r="G332" s="29"/>
      <c r="H332" s="29"/>
      <c r="I332" s="29"/>
      <c r="J332" s="29"/>
      <c r="K332" s="29"/>
      <c r="L332" s="32"/>
      <c r="M332" s="29"/>
      <c r="N332" s="29"/>
      <c r="O332" s="33"/>
      <c r="P332" s="29"/>
      <c r="Q332" s="29"/>
      <c r="R332" s="32"/>
      <c r="S332" s="29"/>
      <c r="T332" s="34"/>
      <c r="U332" s="29"/>
      <c r="V332" s="29"/>
      <c r="W332" s="28"/>
      <c r="X332" s="28"/>
      <c r="Y332" s="35"/>
      <c r="Z332" s="28"/>
      <c r="AA332" s="36"/>
      <c r="AB332" s="36"/>
    </row>
    <row r="333">
      <c r="A333" s="28"/>
      <c r="B333" s="29"/>
      <c r="C333" s="29"/>
      <c r="D333" s="30"/>
      <c r="E333" s="31"/>
      <c r="F333" s="29"/>
      <c r="G333" s="29"/>
      <c r="H333" s="29"/>
      <c r="I333" s="29"/>
      <c r="J333" s="29"/>
      <c r="K333" s="29"/>
      <c r="L333" s="32"/>
      <c r="M333" s="29"/>
      <c r="N333" s="29"/>
      <c r="O333" s="33"/>
      <c r="P333" s="29"/>
      <c r="Q333" s="29"/>
      <c r="R333" s="32"/>
      <c r="S333" s="29"/>
      <c r="T333" s="34"/>
      <c r="U333" s="29"/>
      <c r="V333" s="29"/>
      <c r="W333" s="28"/>
      <c r="X333" s="28"/>
      <c r="Y333" s="35"/>
      <c r="Z333" s="28"/>
      <c r="AA333" s="36"/>
      <c r="AB333" s="36"/>
    </row>
    <row r="334">
      <c r="A334" s="28"/>
      <c r="B334" s="29"/>
      <c r="C334" s="29"/>
      <c r="D334" s="30"/>
      <c r="E334" s="31"/>
      <c r="F334" s="29"/>
      <c r="G334" s="29"/>
      <c r="H334" s="29"/>
      <c r="I334" s="29"/>
      <c r="J334" s="29"/>
      <c r="K334" s="29"/>
      <c r="L334" s="32"/>
      <c r="M334" s="29"/>
      <c r="N334" s="29"/>
      <c r="O334" s="33"/>
      <c r="P334" s="29"/>
      <c r="Q334" s="29"/>
      <c r="R334" s="32"/>
      <c r="S334" s="29"/>
      <c r="T334" s="34"/>
      <c r="U334" s="29"/>
      <c r="V334" s="29"/>
      <c r="W334" s="28"/>
      <c r="X334" s="28"/>
      <c r="Y334" s="35"/>
      <c r="Z334" s="28"/>
      <c r="AA334" s="36"/>
      <c r="AB334" s="36"/>
    </row>
    <row r="335">
      <c r="A335" s="28"/>
      <c r="B335" s="29"/>
      <c r="C335" s="29"/>
      <c r="D335" s="30"/>
      <c r="E335" s="31"/>
      <c r="F335" s="29"/>
      <c r="G335" s="29"/>
      <c r="H335" s="29"/>
      <c r="I335" s="29"/>
      <c r="J335" s="29"/>
      <c r="K335" s="29"/>
      <c r="L335" s="32"/>
      <c r="M335" s="29"/>
      <c r="N335" s="29"/>
      <c r="O335" s="33"/>
      <c r="P335" s="29"/>
      <c r="Q335" s="29"/>
      <c r="R335" s="32"/>
      <c r="S335" s="29"/>
      <c r="T335" s="34"/>
      <c r="U335" s="29"/>
      <c r="V335" s="29"/>
      <c r="W335" s="28"/>
      <c r="X335" s="28"/>
      <c r="Y335" s="35"/>
      <c r="Z335" s="28"/>
      <c r="AA335" s="36"/>
      <c r="AB335" s="36"/>
    </row>
    <row r="336">
      <c r="A336" s="28"/>
      <c r="B336" s="29"/>
      <c r="C336" s="29"/>
      <c r="D336" s="30"/>
      <c r="E336" s="31"/>
      <c r="F336" s="29"/>
      <c r="G336" s="29"/>
      <c r="H336" s="29"/>
      <c r="I336" s="29"/>
      <c r="J336" s="29"/>
      <c r="K336" s="29"/>
      <c r="L336" s="32"/>
      <c r="M336" s="29"/>
      <c r="N336" s="29"/>
      <c r="O336" s="33"/>
      <c r="P336" s="29"/>
      <c r="Q336" s="29"/>
      <c r="R336" s="32"/>
      <c r="S336" s="29"/>
      <c r="T336" s="34"/>
      <c r="U336" s="29"/>
      <c r="V336" s="29"/>
      <c r="W336" s="28"/>
      <c r="X336" s="28"/>
      <c r="Y336" s="35"/>
      <c r="Z336" s="28"/>
      <c r="AA336" s="36"/>
      <c r="AB336" s="36"/>
    </row>
    <row r="337">
      <c r="A337" s="28"/>
      <c r="B337" s="29"/>
      <c r="C337" s="29"/>
      <c r="D337" s="30"/>
      <c r="E337" s="31"/>
      <c r="F337" s="29"/>
      <c r="G337" s="29"/>
      <c r="H337" s="29"/>
      <c r="I337" s="29"/>
      <c r="J337" s="29"/>
      <c r="K337" s="29"/>
      <c r="L337" s="32"/>
      <c r="M337" s="29"/>
      <c r="N337" s="29"/>
      <c r="O337" s="33"/>
      <c r="P337" s="29"/>
      <c r="Q337" s="29"/>
      <c r="R337" s="32"/>
      <c r="S337" s="29"/>
      <c r="T337" s="34"/>
      <c r="U337" s="29"/>
      <c r="V337" s="29"/>
      <c r="W337" s="28"/>
      <c r="X337" s="28"/>
      <c r="Y337" s="35"/>
      <c r="Z337" s="28"/>
      <c r="AA337" s="36"/>
      <c r="AB337" s="36"/>
    </row>
    <row r="338">
      <c r="A338" s="28"/>
      <c r="B338" s="29"/>
      <c r="C338" s="29"/>
      <c r="D338" s="30"/>
      <c r="E338" s="31"/>
      <c r="F338" s="29"/>
      <c r="G338" s="29"/>
      <c r="H338" s="29"/>
      <c r="I338" s="29"/>
      <c r="J338" s="29"/>
      <c r="K338" s="29"/>
      <c r="L338" s="32"/>
      <c r="M338" s="29"/>
      <c r="N338" s="29"/>
      <c r="O338" s="33"/>
      <c r="P338" s="29"/>
      <c r="Q338" s="29"/>
      <c r="R338" s="32"/>
      <c r="S338" s="29"/>
      <c r="T338" s="34"/>
      <c r="U338" s="29"/>
      <c r="V338" s="29"/>
      <c r="W338" s="28"/>
      <c r="X338" s="28"/>
      <c r="Y338" s="35"/>
      <c r="Z338" s="28"/>
      <c r="AA338" s="36"/>
      <c r="AB338" s="36"/>
    </row>
    <row r="339">
      <c r="A339" s="28"/>
      <c r="B339" s="29"/>
      <c r="C339" s="29"/>
      <c r="D339" s="30"/>
      <c r="E339" s="31"/>
      <c r="F339" s="29"/>
      <c r="G339" s="29"/>
      <c r="H339" s="29"/>
      <c r="I339" s="29"/>
      <c r="J339" s="29"/>
      <c r="K339" s="29"/>
      <c r="L339" s="32"/>
      <c r="M339" s="29"/>
      <c r="N339" s="29"/>
      <c r="O339" s="33"/>
      <c r="P339" s="29"/>
      <c r="Q339" s="29"/>
      <c r="R339" s="32"/>
      <c r="S339" s="29"/>
      <c r="T339" s="34"/>
      <c r="U339" s="29"/>
      <c r="V339" s="29"/>
      <c r="W339" s="28"/>
      <c r="X339" s="28"/>
      <c r="Y339" s="35"/>
      <c r="Z339" s="28"/>
      <c r="AA339" s="36"/>
      <c r="AB339" s="36"/>
    </row>
    <row r="340">
      <c r="A340" s="28"/>
      <c r="B340" s="29"/>
      <c r="C340" s="29"/>
      <c r="D340" s="30"/>
      <c r="E340" s="31"/>
      <c r="F340" s="29"/>
      <c r="G340" s="29"/>
      <c r="H340" s="29"/>
      <c r="I340" s="29"/>
      <c r="J340" s="29"/>
      <c r="K340" s="29"/>
      <c r="L340" s="32"/>
      <c r="M340" s="29"/>
      <c r="N340" s="29"/>
      <c r="O340" s="33"/>
      <c r="P340" s="29"/>
      <c r="Q340" s="29"/>
      <c r="R340" s="32"/>
      <c r="S340" s="29"/>
      <c r="T340" s="34"/>
      <c r="U340" s="29"/>
      <c r="V340" s="29"/>
      <c r="W340" s="28"/>
      <c r="X340" s="28"/>
      <c r="Y340" s="35"/>
      <c r="Z340" s="28"/>
      <c r="AA340" s="36"/>
      <c r="AB340" s="36"/>
    </row>
    <row r="341">
      <c r="A341" s="28"/>
      <c r="B341" s="29"/>
      <c r="C341" s="29"/>
      <c r="D341" s="30"/>
      <c r="E341" s="31"/>
      <c r="F341" s="29"/>
      <c r="G341" s="29"/>
      <c r="H341" s="29"/>
      <c r="I341" s="29"/>
      <c r="J341" s="29"/>
      <c r="K341" s="29"/>
      <c r="L341" s="32"/>
      <c r="M341" s="29"/>
      <c r="N341" s="29"/>
      <c r="O341" s="33"/>
      <c r="P341" s="29"/>
      <c r="Q341" s="29"/>
      <c r="R341" s="32"/>
      <c r="S341" s="29"/>
      <c r="T341" s="34"/>
      <c r="U341" s="29"/>
      <c r="V341" s="29"/>
      <c r="W341" s="28"/>
      <c r="X341" s="28"/>
      <c r="Y341" s="35"/>
      <c r="Z341" s="28"/>
      <c r="AA341" s="36"/>
      <c r="AB341" s="36"/>
    </row>
    <row r="342">
      <c r="A342" s="28"/>
      <c r="B342" s="29"/>
      <c r="C342" s="29"/>
      <c r="D342" s="30"/>
      <c r="E342" s="31"/>
      <c r="F342" s="29"/>
      <c r="G342" s="29"/>
      <c r="H342" s="29"/>
      <c r="I342" s="29"/>
      <c r="J342" s="29"/>
      <c r="K342" s="29"/>
      <c r="L342" s="32"/>
      <c r="M342" s="29"/>
      <c r="N342" s="29"/>
      <c r="O342" s="33"/>
      <c r="P342" s="29"/>
      <c r="Q342" s="29"/>
      <c r="R342" s="32"/>
      <c r="S342" s="29"/>
      <c r="T342" s="34"/>
      <c r="U342" s="29"/>
      <c r="V342" s="29"/>
      <c r="W342" s="28"/>
      <c r="X342" s="28"/>
      <c r="Y342" s="35"/>
      <c r="Z342" s="28"/>
      <c r="AA342" s="36"/>
      <c r="AB342" s="36"/>
    </row>
    <row r="343">
      <c r="A343" s="28"/>
      <c r="B343" s="29"/>
      <c r="C343" s="29"/>
      <c r="D343" s="30"/>
      <c r="E343" s="31"/>
      <c r="F343" s="29"/>
      <c r="G343" s="29"/>
      <c r="H343" s="29"/>
      <c r="I343" s="29"/>
      <c r="J343" s="29"/>
      <c r="K343" s="29"/>
      <c r="L343" s="32"/>
      <c r="M343" s="29"/>
      <c r="N343" s="29"/>
      <c r="O343" s="33"/>
      <c r="P343" s="29"/>
      <c r="Q343" s="29"/>
      <c r="R343" s="32"/>
      <c r="S343" s="29"/>
      <c r="T343" s="34"/>
      <c r="U343" s="29"/>
      <c r="V343" s="29"/>
      <c r="W343" s="28"/>
      <c r="X343" s="28"/>
      <c r="Y343" s="35"/>
      <c r="Z343" s="28"/>
      <c r="AA343" s="36"/>
      <c r="AB343" s="36"/>
    </row>
    <row r="344">
      <c r="A344" s="28"/>
      <c r="B344" s="29"/>
      <c r="C344" s="29"/>
      <c r="D344" s="30"/>
      <c r="E344" s="31"/>
      <c r="F344" s="29"/>
      <c r="G344" s="29"/>
      <c r="H344" s="29"/>
      <c r="I344" s="29"/>
      <c r="J344" s="29"/>
      <c r="K344" s="29"/>
      <c r="L344" s="32"/>
      <c r="M344" s="29"/>
      <c r="N344" s="29"/>
      <c r="O344" s="33"/>
      <c r="P344" s="29"/>
      <c r="Q344" s="29"/>
      <c r="R344" s="32"/>
      <c r="S344" s="29"/>
      <c r="T344" s="34"/>
      <c r="U344" s="29"/>
      <c r="V344" s="29"/>
      <c r="W344" s="28"/>
      <c r="X344" s="28"/>
      <c r="Y344" s="35"/>
      <c r="Z344" s="28"/>
      <c r="AA344" s="36"/>
      <c r="AB344" s="36"/>
    </row>
    <row r="345">
      <c r="A345" s="28"/>
      <c r="B345" s="29"/>
      <c r="C345" s="29"/>
      <c r="D345" s="30"/>
      <c r="E345" s="31"/>
      <c r="F345" s="29"/>
      <c r="G345" s="29"/>
      <c r="H345" s="29"/>
      <c r="I345" s="29"/>
      <c r="J345" s="29"/>
      <c r="K345" s="29"/>
      <c r="L345" s="32"/>
      <c r="M345" s="29"/>
      <c r="N345" s="29"/>
      <c r="O345" s="33"/>
      <c r="P345" s="29"/>
      <c r="Q345" s="29"/>
      <c r="R345" s="32"/>
      <c r="S345" s="29"/>
      <c r="T345" s="34"/>
      <c r="U345" s="29"/>
      <c r="V345" s="29"/>
      <c r="W345" s="28"/>
      <c r="X345" s="28"/>
      <c r="Y345" s="35"/>
      <c r="Z345" s="28"/>
      <c r="AA345" s="36"/>
      <c r="AB345" s="36"/>
    </row>
    <row r="346">
      <c r="A346" s="28"/>
      <c r="B346" s="29"/>
      <c r="C346" s="29"/>
      <c r="D346" s="30"/>
      <c r="E346" s="31"/>
      <c r="F346" s="29"/>
      <c r="G346" s="29"/>
      <c r="H346" s="29"/>
      <c r="I346" s="29"/>
      <c r="J346" s="29"/>
      <c r="K346" s="29"/>
      <c r="L346" s="32"/>
      <c r="M346" s="29"/>
      <c r="N346" s="29"/>
      <c r="O346" s="33"/>
      <c r="P346" s="29"/>
      <c r="Q346" s="29"/>
      <c r="R346" s="32"/>
      <c r="S346" s="29"/>
      <c r="T346" s="34"/>
      <c r="U346" s="29"/>
      <c r="V346" s="29"/>
      <c r="W346" s="28"/>
      <c r="X346" s="28"/>
      <c r="Y346" s="35"/>
      <c r="Z346" s="28"/>
      <c r="AA346" s="36"/>
      <c r="AB346" s="36"/>
    </row>
    <row r="347">
      <c r="A347" s="28"/>
      <c r="B347" s="29"/>
      <c r="C347" s="29"/>
      <c r="D347" s="30"/>
      <c r="E347" s="31"/>
      <c r="F347" s="29"/>
      <c r="G347" s="29"/>
      <c r="H347" s="29"/>
      <c r="I347" s="29"/>
      <c r="J347" s="29"/>
      <c r="K347" s="29"/>
      <c r="L347" s="32"/>
      <c r="M347" s="29"/>
      <c r="N347" s="29"/>
      <c r="O347" s="33"/>
      <c r="P347" s="29"/>
      <c r="Q347" s="29"/>
      <c r="R347" s="32"/>
      <c r="S347" s="29"/>
      <c r="T347" s="34"/>
      <c r="U347" s="29"/>
      <c r="V347" s="29"/>
      <c r="W347" s="28"/>
      <c r="X347" s="28"/>
      <c r="Y347" s="35"/>
      <c r="Z347" s="28"/>
      <c r="AA347" s="36"/>
      <c r="AB347" s="36"/>
    </row>
    <row r="348">
      <c r="A348" s="28"/>
      <c r="B348" s="29"/>
      <c r="C348" s="29"/>
      <c r="D348" s="30"/>
      <c r="E348" s="31"/>
      <c r="F348" s="29"/>
      <c r="G348" s="29"/>
      <c r="H348" s="29"/>
      <c r="I348" s="29"/>
      <c r="J348" s="29"/>
      <c r="K348" s="29"/>
      <c r="L348" s="32"/>
      <c r="M348" s="29"/>
      <c r="N348" s="29"/>
      <c r="O348" s="33"/>
      <c r="P348" s="29"/>
      <c r="Q348" s="29"/>
      <c r="R348" s="32"/>
      <c r="S348" s="29"/>
      <c r="T348" s="34"/>
      <c r="U348" s="29"/>
      <c r="V348" s="29"/>
      <c r="W348" s="28"/>
      <c r="X348" s="28"/>
      <c r="Y348" s="35"/>
      <c r="Z348" s="28"/>
      <c r="AA348" s="36"/>
      <c r="AB348" s="36"/>
    </row>
    <row r="349">
      <c r="A349" s="28"/>
      <c r="B349" s="29"/>
      <c r="C349" s="29"/>
      <c r="D349" s="30"/>
      <c r="E349" s="31"/>
      <c r="F349" s="29"/>
      <c r="G349" s="29"/>
      <c r="H349" s="29"/>
      <c r="I349" s="29"/>
      <c r="J349" s="29"/>
      <c r="K349" s="29"/>
      <c r="L349" s="32"/>
      <c r="M349" s="29"/>
      <c r="N349" s="29"/>
      <c r="O349" s="33"/>
      <c r="P349" s="29"/>
      <c r="Q349" s="29"/>
      <c r="R349" s="32"/>
      <c r="S349" s="29"/>
      <c r="T349" s="34"/>
      <c r="U349" s="29"/>
      <c r="V349" s="29"/>
      <c r="W349" s="28"/>
      <c r="X349" s="28"/>
      <c r="Y349" s="35"/>
      <c r="Z349" s="28"/>
      <c r="AA349" s="36"/>
      <c r="AB349" s="36"/>
    </row>
    <row r="350">
      <c r="A350" s="28"/>
      <c r="B350" s="29"/>
      <c r="C350" s="29"/>
      <c r="D350" s="30"/>
      <c r="E350" s="31"/>
      <c r="F350" s="29"/>
      <c r="G350" s="29"/>
      <c r="H350" s="29"/>
      <c r="I350" s="29"/>
      <c r="J350" s="29"/>
      <c r="K350" s="29"/>
      <c r="L350" s="32"/>
      <c r="M350" s="29"/>
      <c r="N350" s="29"/>
      <c r="O350" s="33"/>
      <c r="P350" s="29"/>
      <c r="Q350" s="29"/>
      <c r="R350" s="32"/>
      <c r="S350" s="29"/>
      <c r="T350" s="34"/>
      <c r="U350" s="29"/>
      <c r="V350" s="29"/>
      <c r="W350" s="28"/>
      <c r="X350" s="28"/>
      <c r="Y350" s="35"/>
      <c r="Z350" s="28"/>
      <c r="AA350" s="36"/>
      <c r="AB350" s="36"/>
    </row>
    <row r="351">
      <c r="A351" s="28"/>
      <c r="B351" s="29"/>
      <c r="C351" s="29"/>
      <c r="D351" s="30"/>
      <c r="E351" s="31"/>
      <c r="F351" s="29"/>
      <c r="G351" s="29"/>
      <c r="H351" s="29"/>
      <c r="I351" s="29"/>
      <c r="J351" s="29"/>
      <c r="K351" s="29"/>
      <c r="L351" s="32"/>
      <c r="M351" s="29"/>
      <c r="N351" s="29"/>
      <c r="O351" s="33"/>
      <c r="P351" s="29"/>
      <c r="Q351" s="29"/>
      <c r="R351" s="32"/>
      <c r="S351" s="29"/>
      <c r="T351" s="34"/>
      <c r="U351" s="29"/>
      <c r="V351" s="29"/>
      <c r="W351" s="28"/>
      <c r="X351" s="28"/>
      <c r="Y351" s="35"/>
      <c r="Z351" s="28"/>
      <c r="AA351" s="36"/>
      <c r="AB351" s="36"/>
    </row>
    <row r="352">
      <c r="A352" s="28"/>
      <c r="B352" s="29"/>
      <c r="C352" s="29"/>
      <c r="D352" s="30"/>
      <c r="E352" s="31"/>
      <c r="F352" s="29"/>
      <c r="G352" s="29"/>
      <c r="H352" s="29"/>
      <c r="I352" s="29"/>
      <c r="J352" s="29"/>
      <c r="K352" s="29"/>
      <c r="L352" s="32"/>
      <c r="M352" s="29"/>
      <c r="N352" s="29"/>
      <c r="O352" s="33"/>
      <c r="P352" s="29"/>
      <c r="Q352" s="29"/>
      <c r="R352" s="32"/>
      <c r="S352" s="29"/>
      <c r="T352" s="34"/>
      <c r="U352" s="29"/>
      <c r="V352" s="29"/>
      <c r="W352" s="28"/>
      <c r="X352" s="28"/>
      <c r="Y352" s="35"/>
      <c r="Z352" s="28"/>
      <c r="AA352" s="36"/>
      <c r="AB352" s="36"/>
    </row>
    <row r="353">
      <c r="A353" s="28"/>
      <c r="B353" s="29"/>
      <c r="C353" s="29"/>
      <c r="D353" s="30"/>
      <c r="E353" s="31"/>
      <c r="F353" s="29"/>
      <c r="G353" s="29"/>
      <c r="H353" s="29"/>
      <c r="I353" s="29"/>
      <c r="J353" s="29"/>
      <c r="K353" s="29"/>
      <c r="L353" s="32"/>
      <c r="M353" s="29"/>
      <c r="N353" s="29"/>
      <c r="O353" s="33"/>
      <c r="P353" s="29"/>
      <c r="Q353" s="29"/>
      <c r="R353" s="32"/>
      <c r="S353" s="29"/>
      <c r="T353" s="34"/>
      <c r="U353" s="29"/>
      <c r="V353" s="29"/>
      <c r="W353" s="28"/>
      <c r="X353" s="28"/>
      <c r="Y353" s="35"/>
      <c r="Z353" s="28"/>
      <c r="AA353" s="36"/>
      <c r="AB353" s="36"/>
    </row>
    <row r="354">
      <c r="A354" s="28"/>
      <c r="B354" s="29"/>
      <c r="C354" s="29"/>
      <c r="D354" s="30"/>
      <c r="E354" s="31"/>
      <c r="F354" s="29"/>
      <c r="G354" s="29"/>
      <c r="H354" s="29"/>
      <c r="I354" s="29"/>
      <c r="J354" s="29"/>
      <c r="K354" s="29"/>
      <c r="L354" s="32"/>
      <c r="M354" s="29"/>
      <c r="N354" s="29"/>
      <c r="O354" s="33"/>
      <c r="P354" s="29"/>
      <c r="Q354" s="29"/>
      <c r="R354" s="32"/>
      <c r="S354" s="29"/>
      <c r="T354" s="34"/>
      <c r="U354" s="29"/>
      <c r="V354" s="29"/>
      <c r="W354" s="28"/>
      <c r="X354" s="28"/>
      <c r="Y354" s="35"/>
      <c r="Z354" s="28"/>
      <c r="AA354" s="36"/>
      <c r="AB354" s="36"/>
    </row>
    <row r="355">
      <c r="A355" s="28"/>
      <c r="B355" s="29"/>
      <c r="C355" s="29"/>
      <c r="D355" s="30"/>
      <c r="E355" s="31"/>
      <c r="F355" s="29"/>
      <c r="G355" s="29"/>
      <c r="H355" s="29"/>
      <c r="I355" s="29"/>
      <c r="J355" s="29"/>
      <c r="K355" s="29"/>
      <c r="L355" s="32"/>
      <c r="M355" s="29"/>
      <c r="N355" s="29"/>
      <c r="O355" s="33"/>
      <c r="P355" s="29"/>
      <c r="Q355" s="29"/>
      <c r="R355" s="32"/>
      <c r="S355" s="29"/>
      <c r="T355" s="34"/>
      <c r="U355" s="29"/>
      <c r="V355" s="29"/>
      <c r="W355" s="28"/>
      <c r="X355" s="28"/>
      <c r="Y355" s="35"/>
      <c r="Z355" s="28"/>
      <c r="AA355" s="36"/>
      <c r="AB355" s="36"/>
    </row>
    <row r="356">
      <c r="A356" s="28"/>
      <c r="B356" s="29"/>
      <c r="C356" s="29"/>
      <c r="D356" s="30"/>
      <c r="E356" s="31"/>
      <c r="F356" s="29"/>
      <c r="G356" s="29"/>
      <c r="H356" s="29"/>
      <c r="I356" s="29"/>
      <c r="J356" s="29"/>
      <c r="K356" s="29"/>
      <c r="L356" s="32"/>
      <c r="M356" s="29"/>
      <c r="N356" s="29"/>
      <c r="O356" s="33"/>
      <c r="P356" s="29"/>
      <c r="Q356" s="29"/>
      <c r="R356" s="32"/>
      <c r="S356" s="29"/>
      <c r="T356" s="34"/>
      <c r="U356" s="29"/>
      <c r="V356" s="29"/>
      <c r="W356" s="28"/>
      <c r="X356" s="28"/>
      <c r="Y356" s="35"/>
      <c r="Z356" s="28"/>
      <c r="AA356" s="36"/>
      <c r="AB356" s="36"/>
    </row>
    <row r="357">
      <c r="A357" s="28"/>
      <c r="B357" s="29"/>
      <c r="C357" s="29"/>
      <c r="D357" s="30"/>
      <c r="E357" s="31"/>
      <c r="F357" s="29"/>
      <c r="G357" s="29"/>
      <c r="H357" s="29"/>
      <c r="I357" s="29"/>
      <c r="J357" s="29"/>
      <c r="K357" s="29"/>
      <c r="L357" s="32"/>
      <c r="M357" s="29"/>
      <c r="N357" s="29"/>
      <c r="O357" s="33"/>
      <c r="P357" s="29"/>
      <c r="Q357" s="29"/>
      <c r="R357" s="32"/>
      <c r="S357" s="29"/>
      <c r="T357" s="34"/>
      <c r="U357" s="29"/>
      <c r="V357" s="29"/>
      <c r="W357" s="28"/>
      <c r="X357" s="28"/>
      <c r="Y357" s="35"/>
      <c r="Z357" s="28"/>
      <c r="AA357" s="36"/>
      <c r="AB357" s="36"/>
    </row>
    <row r="358">
      <c r="A358" s="28"/>
      <c r="B358" s="29"/>
      <c r="C358" s="29"/>
      <c r="D358" s="30"/>
      <c r="E358" s="31"/>
      <c r="F358" s="29"/>
      <c r="G358" s="29"/>
      <c r="H358" s="29"/>
      <c r="I358" s="29"/>
      <c r="J358" s="29"/>
      <c r="K358" s="29"/>
      <c r="L358" s="32"/>
      <c r="M358" s="29"/>
      <c r="N358" s="29"/>
      <c r="O358" s="33"/>
      <c r="P358" s="29"/>
      <c r="Q358" s="29"/>
      <c r="R358" s="32"/>
      <c r="S358" s="29"/>
      <c r="T358" s="34"/>
      <c r="U358" s="29"/>
      <c r="V358" s="29"/>
      <c r="W358" s="28"/>
      <c r="X358" s="28"/>
      <c r="Y358" s="35"/>
      <c r="Z358" s="28"/>
      <c r="AA358" s="36"/>
      <c r="AB358" s="36"/>
    </row>
    <row r="359">
      <c r="A359" s="28"/>
      <c r="B359" s="29"/>
      <c r="C359" s="29"/>
      <c r="D359" s="30"/>
      <c r="E359" s="31"/>
      <c r="F359" s="29"/>
      <c r="G359" s="29"/>
      <c r="H359" s="29"/>
      <c r="I359" s="29"/>
      <c r="J359" s="29"/>
      <c r="K359" s="29"/>
      <c r="L359" s="32"/>
      <c r="M359" s="29"/>
      <c r="N359" s="29"/>
      <c r="O359" s="33"/>
      <c r="P359" s="29"/>
      <c r="Q359" s="29"/>
      <c r="R359" s="32"/>
      <c r="S359" s="29"/>
      <c r="T359" s="34"/>
      <c r="U359" s="29"/>
      <c r="V359" s="29"/>
      <c r="W359" s="28"/>
      <c r="X359" s="28"/>
      <c r="Y359" s="35"/>
      <c r="Z359" s="28"/>
      <c r="AA359" s="36"/>
      <c r="AB359" s="36"/>
    </row>
    <row r="360">
      <c r="A360" s="28"/>
      <c r="B360" s="29"/>
      <c r="C360" s="29"/>
      <c r="D360" s="30"/>
      <c r="E360" s="31"/>
      <c r="F360" s="29"/>
      <c r="G360" s="29"/>
      <c r="H360" s="29"/>
      <c r="I360" s="29"/>
      <c r="J360" s="29"/>
      <c r="K360" s="29"/>
      <c r="L360" s="32"/>
      <c r="M360" s="29"/>
      <c r="N360" s="29"/>
      <c r="O360" s="33"/>
      <c r="P360" s="29"/>
      <c r="Q360" s="29"/>
      <c r="R360" s="32"/>
      <c r="S360" s="29"/>
      <c r="T360" s="34"/>
      <c r="U360" s="29"/>
      <c r="V360" s="29"/>
      <c r="W360" s="28"/>
      <c r="X360" s="28"/>
      <c r="Y360" s="35"/>
      <c r="Z360" s="28"/>
      <c r="AA360" s="36"/>
      <c r="AB360" s="36"/>
    </row>
    <row r="361">
      <c r="A361" s="28"/>
      <c r="B361" s="29"/>
      <c r="C361" s="29"/>
      <c r="D361" s="30"/>
      <c r="E361" s="31"/>
      <c r="F361" s="29"/>
      <c r="G361" s="29"/>
      <c r="H361" s="29"/>
      <c r="I361" s="29"/>
      <c r="J361" s="29"/>
      <c r="K361" s="29"/>
      <c r="L361" s="32"/>
      <c r="M361" s="29"/>
      <c r="N361" s="29"/>
      <c r="O361" s="33"/>
      <c r="P361" s="29"/>
      <c r="Q361" s="29"/>
      <c r="R361" s="32"/>
      <c r="S361" s="29"/>
      <c r="T361" s="34"/>
      <c r="U361" s="29"/>
      <c r="V361" s="29"/>
      <c r="W361" s="28"/>
      <c r="X361" s="28"/>
      <c r="Y361" s="35"/>
      <c r="Z361" s="28"/>
      <c r="AA361" s="36"/>
      <c r="AB361" s="36"/>
    </row>
    <row r="362">
      <c r="A362" s="28"/>
      <c r="B362" s="29"/>
      <c r="C362" s="29"/>
      <c r="D362" s="30"/>
      <c r="E362" s="31"/>
      <c r="F362" s="29"/>
      <c r="G362" s="29"/>
      <c r="H362" s="29"/>
      <c r="I362" s="29"/>
      <c r="J362" s="29"/>
      <c r="K362" s="29"/>
      <c r="L362" s="32"/>
      <c r="M362" s="29"/>
      <c r="N362" s="29"/>
      <c r="O362" s="33"/>
      <c r="P362" s="29"/>
      <c r="Q362" s="29"/>
      <c r="R362" s="32"/>
      <c r="S362" s="29"/>
      <c r="T362" s="34"/>
      <c r="U362" s="29"/>
      <c r="V362" s="29"/>
      <c r="W362" s="28"/>
      <c r="X362" s="28"/>
      <c r="Y362" s="35"/>
      <c r="Z362" s="28"/>
      <c r="AA362" s="36"/>
      <c r="AB362" s="36"/>
    </row>
    <row r="363">
      <c r="A363" s="28"/>
      <c r="B363" s="29"/>
      <c r="C363" s="29"/>
      <c r="D363" s="30"/>
      <c r="E363" s="31"/>
      <c r="F363" s="29"/>
      <c r="G363" s="29"/>
      <c r="H363" s="29"/>
      <c r="I363" s="29"/>
      <c r="J363" s="29"/>
      <c r="K363" s="29"/>
      <c r="L363" s="32"/>
      <c r="M363" s="29"/>
      <c r="N363" s="29"/>
      <c r="O363" s="33"/>
      <c r="P363" s="29"/>
      <c r="Q363" s="29"/>
      <c r="R363" s="32"/>
      <c r="S363" s="29"/>
      <c r="T363" s="34"/>
      <c r="U363" s="29"/>
      <c r="V363" s="29"/>
      <c r="W363" s="28"/>
      <c r="X363" s="28"/>
      <c r="Y363" s="35"/>
      <c r="Z363" s="28"/>
      <c r="AA363" s="36"/>
      <c r="AB363" s="36"/>
    </row>
    <row r="364">
      <c r="A364" s="28"/>
      <c r="B364" s="29"/>
      <c r="C364" s="29"/>
      <c r="D364" s="30"/>
      <c r="E364" s="31"/>
      <c r="F364" s="29"/>
      <c r="G364" s="29"/>
      <c r="H364" s="29"/>
      <c r="I364" s="29"/>
      <c r="J364" s="29"/>
      <c r="K364" s="29"/>
      <c r="L364" s="32"/>
      <c r="M364" s="29"/>
      <c r="N364" s="29"/>
      <c r="O364" s="33"/>
      <c r="P364" s="29"/>
      <c r="Q364" s="29"/>
      <c r="R364" s="32"/>
      <c r="S364" s="29"/>
      <c r="T364" s="34"/>
      <c r="U364" s="29"/>
      <c r="V364" s="29"/>
      <c r="W364" s="28"/>
      <c r="X364" s="28"/>
      <c r="Y364" s="35"/>
      <c r="Z364" s="28"/>
      <c r="AA364" s="36"/>
      <c r="AB364" s="36"/>
    </row>
    <row r="365">
      <c r="A365" s="28"/>
      <c r="B365" s="29"/>
      <c r="C365" s="29"/>
      <c r="D365" s="30"/>
      <c r="E365" s="31"/>
      <c r="F365" s="29"/>
      <c r="G365" s="29"/>
      <c r="H365" s="29"/>
      <c r="I365" s="29"/>
      <c r="J365" s="29"/>
      <c r="K365" s="29"/>
      <c r="L365" s="32"/>
      <c r="M365" s="29"/>
      <c r="N365" s="29"/>
      <c r="O365" s="33"/>
      <c r="P365" s="29"/>
      <c r="Q365" s="29"/>
      <c r="R365" s="32"/>
      <c r="S365" s="29"/>
      <c r="T365" s="34"/>
      <c r="U365" s="29"/>
      <c r="V365" s="29"/>
      <c r="W365" s="28"/>
      <c r="X365" s="28"/>
      <c r="Y365" s="35"/>
      <c r="Z365" s="28"/>
      <c r="AA365" s="36"/>
      <c r="AB365" s="36"/>
    </row>
    <row r="366">
      <c r="A366" s="28"/>
      <c r="B366" s="29"/>
      <c r="C366" s="29"/>
      <c r="D366" s="30"/>
      <c r="E366" s="31"/>
      <c r="F366" s="29"/>
      <c r="G366" s="29"/>
      <c r="H366" s="29"/>
      <c r="I366" s="29"/>
      <c r="J366" s="29"/>
      <c r="K366" s="29"/>
      <c r="L366" s="32"/>
      <c r="M366" s="29"/>
      <c r="N366" s="29"/>
      <c r="O366" s="33"/>
      <c r="P366" s="29"/>
      <c r="Q366" s="29"/>
      <c r="R366" s="32"/>
      <c r="S366" s="29"/>
      <c r="T366" s="34"/>
      <c r="U366" s="29"/>
      <c r="V366" s="29"/>
      <c r="W366" s="28"/>
      <c r="X366" s="28"/>
      <c r="Y366" s="35"/>
      <c r="Z366" s="28"/>
      <c r="AA366" s="36"/>
      <c r="AB366" s="36"/>
    </row>
    <row r="367">
      <c r="A367" s="28"/>
      <c r="B367" s="29"/>
      <c r="C367" s="29"/>
      <c r="D367" s="30"/>
      <c r="E367" s="31"/>
      <c r="F367" s="29"/>
      <c r="G367" s="29"/>
      <c r="H367" s="29"/>
      <c r="I367" s="29"/>
      <c r="J367" s="29"/>
      <c r="K367" s="29"/>
      <c r="L367" s="32"/>
      <c r="M367" s="29"/>
      <c r="N367" s="29"/>
      <c r="O367" s="33"/>
      <c r="P367" s="29"/>
      <c r="Q367" s="29"/>
      <c r="R367" s="32"/>
      <c r="S367" s="29"/>
      <c r="T367" s="34"/>
      <c r="U367" s="29"/>
      <c r="V367" s="29"/>
      <c r="W367" s="28"/>
      <c r="X367" s="28"/>
      <c r="Y367" s="35"/>
      <c r="Z367" s="28"/>
      <c r="AA367" s="36"/>
      <c r="AB367" s="36"/>
    </row>
    <row r="368">
      <c r="A368" s="28"/>
      <c r="B368" s="29"/>
      <c r="C368" s="29"/>
      <c r="D368" s="30"/>
      <c r="E368" s="31"/>
      <c r="F368" s="29"/>
      <c r="G368" s="29"/>
      <c r="H368" s="29"/>
      <c r="I368" s="29"/>
      <c r="J368" s="29"/>
      <c r="K368" s="29"/>
      <c r="L368" s="32"/>
      <c r="M368" s="29"/>
      <c r="N368" s="29"/>
      <c r="O368" s="33"/>
      <c r="P368" s="29"/>
      <c r="Q368" s="29"/>
      <c r="R368" s="32"/>
      <c r="S368" s="29"/>
      <c r="T368" s="34"/>
      <c r="U368" s="29"/>
      <c r="V368" s="29"/>
      <c r="W368" s="28"/>
      <c r="X368" s="28"/>
      <c r="Y368" s="35"/>
      <c r="Z368" s="28"/>
      <c r="AA368" s="36"/>
      <c r="AB368" s="36"/>
    </row>
    <row r="369">
      <c r="A369" s="28"/>
      <c r="B369" s="29"/>
      <c r="C369" s="29"/>
      <c r="D369" s="30"/>
      <c r="E369" s="31"/>
      <c r="F369" s="29"/>
      <c r="G369" s="29"/>
      <c r="H369" s="29"/>
      <c r="I369" s="29"/>
      <c r="J369" s="29"/>
      <c r="K369" s="29"/>
      <c r="L369" s="32"/>
      <c r="M369" s="29"/>
      <c r="N369" s="29"/>
      <c r="O369" s="33"/>
      <c r="P369" s="29"/>
      <c r="Q369" s="29"/>
      <c r="R369" s="32"/>
      <c r="S369" s="29"/>
      <c r="T369" s="34"/>
      <c r="U369" s="29"/>
      <c r="V369" s="29"/>
      <c r="W369" s="28"/>
      <c r="X369" s="28"/>
      <c r="Y369" s="35"/>
      <c r="Z369" s="28"/>
      <c r="AA369" s="36"/>
      <c r="AB369" s="36"/>
    </row>
    <row r="370">
      <c r="A370" s="28"/>
      <c r="B370" s="29"/>
      <c r="C370" s="29"/>
      <c r="D370" s="30"/>
      <c r="E370" s="31"/>
      <c r="F370" s="29"/>
      <c r="G370" s="29"/>
      <c r="H370" s="29"/>
      <c r="I370" s="29"/>
      <c r="J370" s="29"/>
      <c r="K370" s="29"/>
      <c r="L370" s="32"/>
      <c r="M370" s="29"/>
      <c r="N370" s="29"/>
      <c r="O370" s="33"/>
      <c r="P370" s="29"/>
      <c r="Q370" s="29"/>
      <c r="R370" s="32"/>
      <c r="S370" s="29"/>
      <c r="T370" s="34"/>
      <c r="U370" s="29"/>
      <c r="V370" s="29"/>
      <c r="W370" s="28"/>
      <c r="X370" s="28"/>
      <c r="Y370" s="35"/>
      <c r="Z370" s="28"/>
      <c r="AA370" s="36"/>
      <c r="AB370" s="36"/>
    </row>
    <row r="371">
      <c r="A371" s="28"/>
      <c r="B371" s="29"/>
      <c r="C371" s="29"/>
      <c r="D371" s="30"/>
      <c r="E371" s="31"/>
      <c r="F371" s="29"/>
      <c r="G371" s="29"/>
      <c r="H371" s="29"/>
      <c r="I371" s="29"/>
      <c r="J371" s="29"/>
      <c r="K371" s="29"/>
      <c r="L371" s="32"/>
      <c r="M371" s="29"/>
      <c r="N371" s="29"/>
      <c r="O371" s="33"/>
      <c r="P371" s="29"/>
      <c r="Q371" s="29"/>
      <c r="R371" s="32"/>
      <c r="S371" s="29"/>
      <c r="T371" s="34"/>
      <c r="U371" s="29"/>
      <c r="V371" s="29"/>
      <c r="W371" s="28"/>
      <c r="X371" s="28"/>
      <c r="Y371" s="35"/>
      <c r="Z371" s="28"/>
      <c r="AA371" s="36"/>
      <c r="AB371" s="36"/>
    </row>
    <row r="372">
      <c r="A372" s="28"/>
      <c r="B372" s="29"/>
      <c r="C372" s="29"/>
      <c r="D372" s="30"/>
      <c r="E372" s="31"/>
      <c r="F372" s="29"/>
      <c r="G372" s="29"/>
      <c r="H372" s="29"/>
      <c r="I372" s="29"/>
      <c r="J372" s="29"/>
      <c r="K372" s="29"/>
      <c r="L372" s="32"/>
      <c r="M372" s="29"/>
      <c r="N372" s="29"/>
      <c r="O372" s="33"/>
      <c r="P372" s="29"/>
      <c r="Q372" s="29"/>
      <c r="R372" s="32"/>
      <c r="S372" s="29"/>
      <c r="T372" s="34"/>
      <c r="U372" s="29"/>
      <c r="V372" s="29"/>
      <c r="W372" s="28"/>
      <c r="X372" s="28"/>
      <c r="Y372" s="35"/>
      <c r="Z372" s="28"/>
      <c r="AA372" s="36"/>
      <c r="AB372" s="36"/>
    </row>
    <row r="373">
      <c r="A373" s="28"/>
      <c r="B373" s="29"/>
      <c r="C373" s="29"/>
      <c r="D373" s="30"/>
      <c r="E373" s="31"/>
      <c r="F373" s="29"/>
      <c r="G373" s="29"/>
      <c r="H373" s="29"/>
      <c r="I373" s="29"/>
      <c r="J373" s="29"/>
      <c r="K373" s="29"/>
      <c r="L373" s="32"/>
      <c r="M373" s="29"/>
      <c r="N373" s="29"/>
      <c r="O373" s="33"/>
      <c r="P373" s="29"/>
      <c r="Q373" s="29"/>
      <c r="R373" s="32"/>
      <c r="S373" s="29"/>
      <c r="T373" s="34"/>
      <c r="U373" s="29"/>
      <c r="V373" s="29"/>
      <c r="W373" s="28"/>
      <c r="X373" s="28"/>
      <c r="Y373" s="35"/>
      <c r="Z373" s="28"/>
      <c r="AA373" s="36"/>
      <c r="AB373" s="36"/>
    </row>
    <row r="374">
      <c r="A374" s="28"/>
      <c r="B374" s="29"/>
      <c r="C374" s="29"/>
      <c r="D374" s="30"/>
      <c r="E374" s="31"/>
      <c r="F374" s="29"/>
      <c r="G374" s="29"/>
      <c r="H374" s="29"/>
      <c r="I374" s="29"/>
      <c r="J374" s="29"/>
      <c r="K374" s="29"/>
      <c r="L374" s="32"/>
      <c r="M374" s="29"/>
      <c r="N374" s="29"/>
      <c r="O374" s="33"/>
      <c r="P374" s="29"/>
      <c r="Q374" s="29"/>
      <c r="R374" s="32"/>
      <c r="S374" s="29"/>
      <c r="T374" s="34"/>
      <c r="U374" s="29"/>
      <c r="V374" s="29"/>
      <c r="W374" s="28"/>
      <c r="X374" s="28"/>
      <c r="Y374" s="35"/>
      <c r="Z374" s="28"/>
      <c r="AA374" s="36"/>
      <c r="AB374" s="36"/>
    </row>
    <row r="375">
      <c r="A375" s="28"/>
      <c r="B375" s="29"/>
      <c r="C375" s="29"/>
      <c r="D375" s="30"/>
      <c r="E375" s="31"/>
      <c r="F375" s="29"/>
      <c r="G375" s="29"/>
      <c r="H375" s="29"/>
      <c r="I375" s="29"/>
      <c r="J375" s="29"/>
      <c r="K375" s="29"/>
      <c r="L375" s="32"/>
      <c r="M375" s="29"/>
      <c r="N375" s="29"/>
      <c r="O375" s="33"/>
      <c r="P375" s="29"/>
      <c r="Q375" s="29"/>
      <c r="R375" s="32"/>
      <c r="S375" s="29"/>
      <c r="T375" s="34"/>
      <c r="U375" s="29"/>
      <c r="V375" s="29"/>
      <c r="W375" s="28"/>
      <c r="X375" s="28"/>
      <c r="Y375" s="35"/>
      <c r="Z375" s="28"/>
      <c r="AA375" s="36"/>
      <c r="AB375" s="36"/>
    </row>
    <row r="376">
      <c r="A376" s="28"/>
      <c r="B376" s="29"/>
      <c r="C376" s="29"/>
      <c r="D376" s="30"/>
      <c r="E376" s="31"/>
      <c r="F376" s="29"/>
      <c r="G376" s="29"/>
      <c r="H376" s="29"/>
      <c r="I376" s="29"/>
      <c r="J376" s="29"/>
      <c r="K376" s="29"/>
      <c r="L376" s="32"/>
      <c r="M376" s="29"/>
      <c r="N376" s="29"/>
      <c r="O376" s="33"/>
      <c r="P376" s="29"/>
      <c r="Q376" s="29"/>
      <c r="R376" s="32"/>
      <c r="S376" s="29"/>
      <c r="T376" s="34"/>
      <c r="U376" s="29"/>
      <c r="V376" s="29"/>
      <c r="W376" s="28"/>
      <c r="X376" s="28"/>
      <c r="Y376" s="35"/>
      <c r="Z376" s="28"/>
      <c r="AA376" s="36"/>
      <c r="AB376" s="36"/>
    </row>
    <row r="377">
      <c r="A377" s="28"/>
      <c r="B377" s="29"/>
      <c r="C377" s="29"/>
      <c r="D377" s="30"/>
      <c r="E377" s="31"/>
      <c r="F377" s="29"/>
      <c r="G377" s="29"/>
      <c r="H377" s="29"/>
      <c r="I377" s="29"/>
      <c r="J377" s="29"/>
      <c r="K377" s="29"/>
      <c r="L377" s="32"/>
      <c r="M377" s="29"/>
      <c r="N377" s="29"/>
      <c r="O377" s="33"/>
      <c r="P377" s="29"/>
      <c r="Q377" s="29"/>
      <c r="R377" s="32"/>
      <c r="S377" s="29"/>
      <c r="T377" s="34"/>
      <c r="U377" s="29"/>
      <c r="V377" s="29"/>
      <c r="W377" s="28"/>
      <c r="X377" s="28"/>
      <c r="Y377" s="35"/>
      <c r="Z377" s="28"/>
      <c r="AA377" s="36"/>
      <c r="AB377" s="36"/>
    </row>
    <row r="378">
      <c r="A378" s="28"/>
      <c r="B378" s="29"/>
      <c r="C378" s="29"/>
      <c r="D378" s="30"/>
      <c r="E378" s="31"/>
      <c r="F378" s="29"/>
      <c r="G378" s="29"/>
      <c r="H378" s="29"/>
      <c r="I378" s="29"/>
      <c r="J378" s="29"/>
      <c r="K378" s="29"/>
      <c r="L378" s="32"/>
      <c r="M378" s="29"/>
      <c r="N378" s="29"/>
      <c r="O378" s="33"/>
      <c r="P378" s="29"/>
      <c r="Q378" s="29"/>
      <c r="R378" s="32"/>
      <c r="S378" s="29"/>
      <c r="T378" s="34"/>
      <c r="U378" s="29"/>
      <c r="V378" s="29"/>
      <c r="W378" s="28"/>
      <c r="X378" s="28"/>
      <c r="Y378" s="35"/>
      <c r="Z378" s="28"/>
      <c r="AA378" s="36"/>
      <c r="AB378" s="36"/>
    </row>
    <row r="379">
      <c r="A379" s="28"/>
      <c r="B379" s="29"/>
      <c r="C379" s="29"/>
      <c r="D379" s="30"/>
      <c r="E379" s="31"/>
      <c r="F379" s="29"/>
      <c r="G379" s="29"/>
      <c r="H379" s="29"/>
      <c r="I379" s="29"/>
      <c r="J379" s="29"/>
      <c r="K379" s="29"/>
      <c r="L379" s="32"/>
      <c r="M379" s="29"/>
      <c r="N379" s="29"/>
      <c r="O379" s="33"/>
      <c r="P379" s="29"/>
      <c r="Q379" s="29"/>
      <c r="R379" s="32"/>
      <c r="S379" s="29"/>
      <c r="T379" s="34"/>
      <c r="U379" s="29"/>
      <c r="V379" s="29"/>
      <c r="W379" s="28"/>
      <c r="X379" s="28"/>
      <c r="Y379" s="35"/>
      <c r="Z379" s="28"/>
      <c r="AA379" s="36"/>
      <c r="AB379" s="36"/>
    </row>
    <row r="380">
      <c r="A380" s="28"/>
      <c r="B380" s="29"/>
      <c r="C380" s="29"/>
      <c r="D380" s="30"/>
      <c r="E380" s="31"/>
      <c r="F380" s="29"/>
      <c r="G380" s="29"/>
      <c r="H380" s="29"/>
      <c r="I380" s="29"/>
      <c r="J380" s="29"/>
      <c r="K380" s="29"/>
      <c r="L380" s="32"/>
      <c r="M380" s="29"/>
      <c r="N380" s="29"/>
      <c r="O380" s="33"/>
      <c r="P380" s="29"/>
      <c r="Q380" s="29"/>
      <c r="R380" s="32"/>
      <c r="S380" s="29"/>
      <c r="T380" s="34"/>
      <c r="U380" s="29"/>
      <c r="V380" s="29"/>
      <c r="W380" s="28"/>
      <c r="X380" s="28"/>
      <c r="Y380" s="35"/>
      <c r="Z380" s="28"/>
      <c r="AA380" s="36"/>
      <c r="AB380" s="36"/>
    </row>
    <row r="381">
      <c r="A381" s="28"/>
      <c r="B381" s="29"/>
      <c r="C381" s="29"/>
      <c r="D381" s="30"/>
      <c r="E381" s="31"/>
      <c r="F381" s="29"/>
      <c r="G381" s="29"/>
      <c r="H381" s="29"/>
      <c r="I381" s="29"/>
      <c r="J381" s="29"/>
      <c r="K381" s="29"/>
      <c r="L381" s="32"/>
      <c r="M381" s="29"/>
      <c r="N381" s="29"/>
      <c r="O381" s="33"/>
      <c r="P381" s="29"/>
      <c r="Q381" s="29"/>
      <c r="R381" s="32"/>
      <c r="S381" s="29"/>
      <c r="T381" s="34"/>
      <c r="U381" s="29"/>
      <c r="V381" s="29"/>
      <c r="W381" s="28"/>
      <c r="X381" s="28"/>
      <c r="Y381" s="35"/>
      <c r="Z381" s="28"/>
      <c r="AA381" s="36"/>
      <c r="AB381" s="36"/>
    </row>
    <row r="382">
      <c r="A382" s="28"/>
      <c r="B382" s="29"/>
      <c r="C382" s="29"/>
      <c r="D382" s="30"/>
      <c r="E382" s="31"/>
      <c r="F382" s="29"/>
      <c r="G382" s="29"/>
      <c r="H382" s="29"/>
      <c r="I382" s="29"/>
      <c r="J382" s="29"/>
      <c r="K382" s="29"/>
      <c r="L382" s="32"/>
      <c r="M382" s="29"/>
      <c r="N382" s="29"/>
      <c r="O382" s="33"/>
      <c r="P382" s="29"/>
      <c r="Q382" s="29"/>
      <c r="R382" s="32"/>
      <c r="S382" s="29"/>
      <c r="T382" s="34"/>
      <c r="U382" s="29"/>
      <c r="V382" s="29"/>
      <c r="W382" s="28"/>
      <c r="X382" s="28"/>
      <c r="Y382" s="35"/>
      <c r="Z382" s="28"/>
      <c r="AA382" s="36"/>
      <c r="AB382" s="36"/>
    </row>
    <row r="383">
      <c r="A383" s="28"/>
      <c r="B383" s="29"/>
      <c r="C383" s="29"/>
      <c r="D383" s="30"/>
      <c r="E383" s="31"/>
      <c r="F383" s="29"/>
      <c r="G383" s="29"/>
      <c r="H383" s="29"/>
      <c r="I383" s="29"/>
      <c r="J383" s="29"/>
      <c r="K383" s="29"/>
      <c r="L383" s="32"/>
      <c r="M383" s="29"/>
      <c r="N383" s="29"/>
      <c r="O383" s="33"/>
      <c r="P383" s="29"/>
      <c r="Q383" s="29"/>
      <c r="R383" s="32"/>
      <c r="S383" s="29"/>
      <c r="T383" s="34"/>
      <c r="U383" s="29"/>
      <c r="V383" s="29"/>
      <c r="W383" s="28"/>
      <c r="X383" s="28"/>
      <c r="Y383" s="35"/>
      <c r="Z383" s="28"/>
      <c r="AA383" s="36"/>
      <c r="AB383" s="36"/>
    </row>
    <row r="384">
      <c r="A384" s="28"/>
      <c r="B384" s="29"/>
      <c r="C384" s="29"/>
      <c r="D384" s="30"/>
      <c r="E384" s="31"/>
      <c r="F384" s="29"/>
      <c r="G384" s="29"/>
      <c r="H384" s="29"/>
      <c r="I384" s="29"/>
      <c r="J384" s="29"/>
      <c r="K384" s="29"/>
      <c r="L384" s="32"/>
      <c r="M384" s="29"/>
      <c r="N384" s="29"/>
      <c r="O384" s="33"/>
      <c r="P384" s="29"/>
      <c r="Q384" s="29"/>
      <c r="R384" s="32"/>
      <c r="S384" s="29"/>
      <c r="T384" s="34"/>
      <c r="U384" s="29"/>
      <c r="V384" s="29"/>
      <c r="W384" s="28"/>
      <c r="X384" s="28"/>
      <c r="Y384" s="35"/>
      <c r="Z384" s="28"/>
      <c r="AA384" s="36"/>
      <c r="AB384" s="36"/>
    </row>
    <row r="385">
      <c r="A385" s="28"/>
      <c r="B385" s="29"/>
      <c r="C385" s="29"/>
      <c r="D385" s="30"/>
      <c r="E385" s="31"/>
      <c r="F385" s="29"/>
      <c r="G385" s="29"/>
      <c r="H385" s="29"/>
      <c r="I385" s="29"/>
      <c r="J385" s="29"/>
      <c r="K385" s="29"/>
      <c r="L385" s="32"/>
      <c r="M385" s="29"/>
      <c r="N385" s="29"/>
      <c r="O385" s="33"/>
      <c r="P385" s="29"/>
      <c r="Q385" s="29"/>
      <c r="R385" s="32"/>
      <c r="S385" s="29"/>
      <c r="T385" s="34"/>
      <c r="U385" s="29"/>
      <c r="V385" s="29"/>
      <c r="W385" s="28"/>
      <c r="X385" s="28"/>
      <c r="Y385" s="35"/>
      <c r="Z385" s="28"/>
      <c r="AA385" s="36"/>
      <c r="AB385" s="36"/>
    </row>
    <row r="386">
      <c r="A386" s="28"/>
      <c r="B386" s="29"/>
      <c r="C386" s="29"/>
      <c r="D386" s="30"/>
      <c r="E386" s="31"/>
      <c r="F386" s="29"/>
      <c r="G386" s="29"/>
      <c r="H386" s="29"/>
      <c r="I386" s="29"/>
      <c r="J386" s="29"/>
      <c r="K386" s="29"/>
      <c r="L386" s="32"/>
      <c r="M386" s="29"/>
      <c r="N386" s="29"/>
      <c r="O386" s="33"/>
      <c r="P386" s="29"/>
      <c r="Q386" s="29"/>
      <c r="R386" s="32"/>
      <c r="S386" s="29"/>
      <c r="T386" s="34"/>
      <c r="U386" s="29"/>
      <c r="V386" s="29"/>
      <c r="W386" s="28"/>
      <c r="X386" s="28"/>
      <c r="Y386" s="35"/>
      <c r="Z386" s="28"/>
      <c r="AA386" s="36"/>
      <c r="AB386" s="36"/>
    </row>
    <row r="387">
      <c r="A387" s="28"/>
      <c r="B387" s="29"/>
      <c r="C387" s="29"/>
      <c r="D387" s="30"/>
      <c r="E387" s="31"/>
      <c r="F387" s="29"/>
      <c r="G387" s="29"/>
      <c r="H387" s="29"/>
      <c r="I387" s="29"/>
      <c r="J387" s="29"/>
      <c r="K387" s="29"/>
      <c r="L387" s="32"/>
      <c r="M387" s="29"/>
      <c r="N387" s="29"/>
      <c r="O387" s="33"/>
      <c r="P387" s="29"/>
      <c r="Q387" s="29"/>
      <c r="R387" s="32"/>
      <c r="S387" s="29"/>
      <c r="T387" s="34"/>
      <c r="U387" s="29"/>
      <c r="V387" s="29"/>
      <c r="W387" s="28"/>
      <c r="X387" s="28"/>
      <c r="Y387" s="35"/>
      <c r="Z387" s="28"/>
      <c r="AA387" s="36"/>
      <c r="AB387" s="36"/>
    </row>
    <row r="388">
      <c r="A388" s="28"/>
      <c r="B388" s="29"/>
      <c r="C388" s="29"/>
      <c r="D388" s="30"/>
      <c r="E388" s="31"/>
      <c r="F388" s="29"/>
      <c r="G388" s="29"/>
      <c r="H388" s="29"/>
      <c r="I388" s="29"/>
      <c r="J388" s="29"/>
      <c r="K388" s="29"/>
      <c r="L388" s="32"/>
      <c r="M388" s="29"/>
      <c r="N388" s="29"/>
      <c r="O388" s="33"/>
      <c r="P388" s="29"/>
      <c r="Q388" s="29"/>
      <c r="R388" s="32"/>
      <c r="S388" s="29"/>
      <c r="T388" s="34"/>
      <c r="U388" s="29"/>
      <c r="V388" s="29"/>
      <c r="W388" s="28"/>
      <c r="X388" s="28"/>
      <c r="Y388" s="35"/>
      <c r="Z388" s="28"/>
      <c r="AA388" s="36"/>
      <c r="AB388" s="36"/>
    </row>
    <row r="389">
      <c r="A389" s="28"/>
      <c r="B389" s="29"/>
      <c r="C389" s="29"/>
      <c r="D389" s="30"/>
      <c r="E389" s="31"/>
      <c r="F389" s="29"/>
      <c r="G389" s="29"/>
      <c r="H389" s="29"/>
      <c r="I389" s="29"/>
      <c r="J389" s="29"/>
      <c r="K389" s="29"/>
      <c r="L389" s="32"/>
      <c r="M389" s="29"/>
      <c r="N389" s="29"/>
      <c r="O389" s="33"/>
      <c r="P389" s="29"/>
      <c r="Q389" s="29"/>
      <c r="R389" s="32"/>
      <c r="S389" s="29"/>
      <c r="T389" s="34"/>
      <c r="U389" s="29"/>
      <c r="V389" s="29"/>
      <c r="W389" s="28"/>
      <c r="X389" s="28"/>
      <c r="Y389" s="35"/>
      <c r="Z389" s="28"/>
      <c r="AA389" s="36"/>
      <c r="AB389" s="36"/>
    </row>
    <row r="390">
      <c r="A390" s="28"/>
      <c r="B390" s="29"/>
      <c r="C390" s="29"/>
      <c r="D390" s="30"/>
      <c r="E390" s="31"/>
      <c r="F390" s="29"/>
      <c r="G390" s="29"/>
      <c r="H390" s="29"/>
      <c r="I390" s="29"/>
      <c r="J390" s="29"/>
      <c r="K390" s="29"/>
      <c r="L390" s="32"/>
      <c r="M390" s="29"/>
      <c r="N390" s="29"/>
      <c r="O390" s="33"/>
      <c r="P390" s="29"/>
      <c r="Q390" s="29"/>
      <c r="R390" s="32"/>
      <c r="S390" s="29"/>
      <c r="T390" s="34"/>
      <c r="U390" s="29"/>
      <c r="V390" s="29"/>
      <c r="W390" s="28"/>
      <c r="X390" s="28"/>
      <c r="Y390" s="35"/>
      <c r="Z390" s="28"/>
      <c r="AA390" s="36"/>
      <c r="AB390" s="36"/>
    </row>
    <row r="391">
      <c r="A391" s="28"/>
      <c r="B391" s="29"/>
      <c r="C391" s="29"/>
      <c r="D391" s="30"/>
      <c r="E391" s="31"/>
      <c r="F391" s="29"/>
      <c r="G391" s="29"/>
      <c r="H391" s="29"/>
      <c r="I391" s="29"/>
      <c r="J391" s="29"/>
      <c r="K391" s="29"/>
      <c r="L391" s="32"/>
      <c r="M391" s="29"/>
      <c r="N391" s="29"/>
      <c r="O391" s="33"/>
      <c r="P391" s="29"/>
      <c r="Q391" s="29"/>
      <c r="R391" s="32"/>
      <c r="S391" s="29"/>
      <c r="T391" s="34"/>
      <c r="U391" s="29"/>
      <c r="V391" s="29"/>
      <c r="W391" s="28"/>
      <c r="X391" s="28"/>
      <c r="Y391" s="35"/>
      <c r="Z391" s="28"/>
      <c r="AA391" s="36"/>
      <c r="AB391" s="36"/>
    </row>
    <row r="392">
      <c r="A392" s="28"/>
      <c r="B392" s="29"/>
      <c r="C392" s="29"/>
      <c r="D392" s="30"/>
      <c r="E392" s="31"/>
      <c r="F392" s="29"/>
      <c r="G392" s="29"/>
      <c r="H392" s="29"/>
      <c r="I392" s="29"/>
      <c r="J392" s="29"/>
      <c r="K392" s="29"/>
      <c r="L392" s="32"/>
      <c r="M392" s="29"/>
      <c r="N392" s="29"/>
      <c r="O392" s="33"/>
      <c r="P392" s="29"/>
      <c r="Q392" s="29"/>
      <c r="R392" s="32"/>
      <c r="S392" s="29"/>
      <c r="T392" s="34"/>
      <c r="U392" s="29"/>
      <c r="V392" s="29"/>
      <c r="W392" s="28"/>
      <c r="X392" s="28"/>
      <c r="Y392" s="35"/>
      <c r="Z392" s="28"/>
      <c r="AA392" s="36"/>
      <c r="AB392" s="36"/>
    </row>
    <row r="393">
      <c r="A393" s="28"/>
      <c r="B393" s="29"/>
      <c r="C393" s="29"/>
      <c r="D393" s="30"/>
      <c r="E393" s="31"/>
      <c r="F393" s="29"/>
      <c r="G393" s="29"/>
      <c r="H393" s="29"/>
      <c r="I393" s="29"/>
      <c r="J393" s="29"/>
      <c r="K393" s="29"/>
      <c r="L393" s="32"/>
      <c r="M393" s="29"/>
      <c r="N393" s="29"/>
      <c r="O393" s="33"/>
      <c r="P393" s="29"/>
      <c r="Q393" s="29"/>
      <c r="R393" s="32"/>
      <c r="S393" s="29"/>
      <c r="T393" s="34"/>
      <c r="U393" s="29"/>
      <c r="V393" s="29"/>
      <c r="W393" s="28"/>
      <c r="X393" s="28"/>
      <c r="Y393" s="35"/>
      <c r="Z393" s="28"/>
      <c r="AA393" s="36"/>
      <c r="AB393" s="36"/>
    </row>
    <row r="394">
      <c r="A394" s="28"/>
      <c r="B394" s="29"/>
      <c r="C394" s="29"/>
      <c r="D394" s="30"/>
      <c r="E394" s="31"/>
      <c r="F394" s="29"/>
      <c r="G394" s="29"/>
      <c r="H394" s="29"/>
      <c r="I394" s="29"/>
      <c r="J394" s="29"/>
      <c r="K394" s="29"/>
      <c r="L394" s="32"/>
      <c r="M394" s="29"/>
      <c r="N394" s="29"/>
      <c r="O394" s="33"/>
      <c r="P394" s="29"/>
      <c r="Q394" s="29"/>
      <c r="R394" s="32"/>
      <c r="S394" s="29"/>
      <c r="T394" s="34"/>
      <c r="U394" s="29"/>
      <c r="V394" s="29"/>
      <c r="W394" s="28"/>
      <c r="X394" s="28"/>
      <c r="Y394" s="35"/>
      <c r="Z394" s="28"/>
      <c r="AA394" s="36"/>
      <c r="AB394" s="36"/>
    </row>
    <row r="395">
      <c r="A395" s="28"/>
      <c r="B395" s="29"/>
      <c r="C395" s="29"/>
      <c r="D395" s="30"/>
      <c r="E395" s="31"/>
      <c r="F395" s="29"/>
      <c r="G395" s="29"/>
      <c r="H395" s="29"/>
      <c r="I395" s="29"/>
      <c r="J395" s="29"/>
      <c r="K395" s="29"/>
      <c r="L395" s="32"/>
      <c r="M395" s="29"/>
      <c r="N395" s="29"/>
      <c r="O395" s="33"/>
      <c r="P395" s="29"/>
      <c r="Q395" s="29"/>
      <c r="R395" s="32"/>
      <c r="S395" s="29"/>
      <c r="T395" s="34"/>
      <c r="U395" s="29"/>
      <c r="V395" s="29"/>
      <c r="W395" s="28"/>
      <c r="X395" s="28"/>
      <c r="Y395" s="35"/>
      <c r="Z395" s="28"/>
      <c r="AA395" s="36"/>
      <c r="AB395" s="36"/>
    </row>
    <row r="396">
      <c r="A396" s="28"/>
      <c r="B396" s="29"/>
      <c r="C396" s="29"/>
      <c r="D396" s="30"/>
      <c r="E396" s="31"/>
      <c r="F396" s="29"/>
      <c r="G396" s="29"/>
      <c r="H396" s="29"/>
      <c r="I396" s="29"/>
      <c r="J396" s="29"/>
      <c r="K396" s="29"/>
      <c r="L396" s="32"/>
      <c r="M396" s="29"/>
      <c r="N396" s="29"/>
      <c r="O396" s="33"/>
      <c r="P396" s="29"/>
      <c r="Q396" s="29"/>
      <c r="R396" s="32"/>
      <c r="S396" s="29"/>
      <c r="T396" s="34"/>
      <c r="U396" s="29"/>
      <c r="V396" s="29"/>
      <c r="W396" s="28"/>
      <c r="X396" s="28"/>
      <c r="Y396" s="35"/>
      <c r="Z396" s="28"/>
      <c r="AA396" s="36"/>
      <c r="AB396" s="36"/>
    </row>
    <row r="397">
      <c r="A397" s="28"/>
      <c r="B397" s="29"/>
      <c r="C397" s="29"/>
      <c r="D397" s="30"/>
      <c r="E397" s="31"/>
      <c r="F397" s="29"/>
      <c r="G397" s="29"/>
      <c r="H397" s="29"/>
      <c r="I397" s="29"/>
      <c r="J397" s="29"/>
      <c r="K397" s="29"/>
      <c r="L397" s="32"/>
      <c r="M397" s="29"/>
      <c r="N397" s="29"/>
      <c r="O397" s="33"/>
      <c r="P397" s="29"/>
      <c r="Q397" s="29"/>
      <c r="R397" s="32"/>
      <c r="S397" s="29"/>
      <c r="T397" s="34"/>
      <c r="U397" s="29"/>
      <c r="V397" s="29"/>
      <c r="W397" s="28"/>
      <c r="X397" s="28"/>
      <c r="Y397" s="35"/>
      <c r="Z397" s="28"/>
      <c r="AA397" s="36"/>
      <c r="AB397" s="36"/>
    </row>
    <row r="398">
      <c r="A398" s="28"/>
      <c r="B398" s="29"/>
      <c r="C398" s="29"/>
      <c r="D398" s="30"/>
      <c r="E398" s="31"/>
      <c r="F398" s="29"/>
      <c r="G398" s="29"/>
      <c r="H398" s="29"/>
      <c r="I398" s="29"/>
      <c r="J398" s="29"/>
      <c r="K398" s="29"/>
      <c r="L398" s="32"/>
      <c r="M398" s="29"/>
      <c r="N398" s="29"/>
      <c r="O398" s="33"/>
      <c r="P398" s="29"/>
      <c r="Q398" s="29"/>
      <c r="R398" s="32"/>
      <c r="S398" s="29"/>
      <c r="T398" s="34"/>
      <c r="U398" s="29"/>
      <c r="V398" s="29"/>
      <c r="W398" s="28"/>
      <c r="X398" s="28"/>
      <c r="Y398" s="35"/>
      <c r="Z398" s="28"/>
      <c r="AA398" s="36"/>
      <c r="AB398" s="36"/>
    </row>
    <row r="399">
      <c r="A399" s="28"/>
      <c r="B399" s="29"/>
      <c r="C399" s="29"/>
      <c r="D399" s="30"/>
      <c r="E399" s="31"/>
      <c r="F399" s="29"/>
      <c r="G399" s="29"/>
      <c r="H399" s="29"/>
      <c r="I399" s="29"/>
      <c r="J399" s="29"/>
      <c r="K399" s="29"/>
      <c r="L399" s="32"/>
      <c r="M399" s="29"/>
      <c r="N399" s="29"/>
      <c r="O399" s="33"/>
      <c r="P399" s="29"/>
      <c r="Q399" s="29"/>
      <c r="R399" s="32"/>
      <c r="S399" s="29"/>
      <c r="T399" s="34"/>
      <c r="U399" s="29"/>
      <c r="V399" s="29"/>
      <c r="W399" s="28"/>
      <c r="X399" s="28"/>
      <c r="Y399" s="35"/>
      <c r="Z399" s="28"/>
      <c r="AA399" s="36"/>
      <c r="AB399" s="36"/>
    </row>
    <row r="400">
      <c r="A400" s="28"/>
      <c r="B400" s="29"/>
      <c r="C400" s="29"/>
      <c r="D400" s="30"/>
      <c r="E400" s="31"/>
      <c r="F400" s="29"/>
      <c r="G400" s="29"/>
      <c r="H400" s="29"/>
      <c r="I400" s="29"/>
      <c r="J400" s="29"/>
      <c r="K400" s="29"/>
      <c r="L400" s="32"/>
      <c r="M400" s="29"/>
      <c r="N400" s="29"/>
      <c r="O400" s="33"/>
      <c r="P400" s="29"/>
      <c r="Q400" s="29"/>
      <c r="R400" s="32"/>
      <c r="S400" s="29"/>
      <c r="T400" s="34"/>
      <c r="U400" s="29"/>
      <c r="V400" s="29"/>
      <c r="W400" s="28"/>
      <c r="X400" s="28"/>
      <c r="Y400" s="35"/>
      <c r="Z400" s="28"/>
      <c r="AA400" s="36"/>
      <c r="AB400" s="36"/>
    </row>
    <row r="401">
      <c r="A401" s="28"/>
      <c r="B401" s="29"/>
      <c r="C401" s="29"/>
      <c r="D401" s="30"/>
      <c r="E401" s="31"/>
      <c r="F401" s="29"/>
      <c r="G401" s="29"/>
      <c r="H401" s="29"/>
      <c r="I401" s="29"/>
      <c r="J401" s="29"/>
      <c r="K401" s="29"/>
      <c r="L401" s="32"/>
      <c r="M401" s="29"/>
      <c r="N401" s="29"/>
      <c r="O401" s="33"/>
      <c r="P401" s="29"/>
      <c r="Q401" s="29"/>
      <c r="R401" s="32"/>
      <c r="S401" s="29"/>
      <c r="T401" s="34"/>
      <c r="U401" s="29"/>
      <c r="V401" s="29"/>
      <c r="W401" s="28"/>
      <c r="X401" s="28"/>
      <c r="Y401" s="35"/>
      <c r="Z401" s="28"/>
      <c r="AA401" s="36"/>
      <c r="AB401" s="36"/>
    </row>
    <row r="402">
      <c r="A402" s="28"/>
      <c r="B402" s="29"/>
      <c r="C402" s="29"/>
      <c r="D402" s="30"/>
      <c r="E402" s="31"/>
      <c r="F402" s="29"/>
      <c r="G402" s="29"/>
      <c r="H402" s="29"/>
      <c r="I402" s="29"/>
      <c r="J402" s="29"/>
      <c r="K402" s="29"/>
      <c r="L402" s="32"/>
      <c r="M402" s="29"/>
      <c r="N402" s="29"/>
      <c r="O402" s="33"/>
      <c r="P402" s="29"/>
      <c r="Q402" s="29"/>
      <c r="R402" s="32"/>
      <c r="S402" s="29"/>
      <c r="T402" s="34"/>
      <c r="U402" s="29"/>
      <c r="V402" s="29"/>
      <c r="W402" s="28"/>
      <c r="X402" s="28"/>
      <c r="Y402" s="35"/>
      <c r="Z402" s="28"/>
      <c r="AA402" s="36"/>
      <c r="AB402" s="36"/>
    </row>
    <row r="403">
      <c r="A403" s="28"/>
      <c r="B403" s="29"/>
      <c r="C403" s="29"/>
      <c r="D403" s="30"/>
      <c r="E403" s="31"/>
      <c r="F403" s="29"/>
      <c r="G403" s="29"/>
      <c r="H403" s="29"/>
      <c r="I403" s="29"/>
      <c r="J403" s="29"/>
      <c r="K403" s="29"/>
      <c r="L403" s="32"/>
      <c r="M403" s="29"/>
      <c r="N403" s="29"/>
      <c r="O403" s="33"/>
      <c r="P403" s="29"/>
      <c r="Q403" s="29"/>
      <c r="R403" s="32"/>
      <c r="S403" s="29"/>
      <c r="T403" s="34"/>
      <c r="U403" s="29"/>
      <c r="V403" s="29"/>
      <c r="W403" s="28"/>
      <c r="X403" s="28"/>
      <c r="Y403" s="35"/>
      <c r="Z403" s="28"/>
      <c r="AA403" s="36"/>
      <c r="AB403" s="36"/>
    </row>
    <row r="404">
      <c r="A404" s="28"/>
      <c r="B404" s="29"/>
      <c r="C404" s="29"/>
      <c r="D404" s="30"/>
      <c r="E404" s="31"/>
      <c r="F404" s="29"/>
      <c r="G404" s="29"/>
      <c r="H404" s="29"/>
      <c r="I404" s="29"/>
      <c r="J404" s="29"/>
      <c r="K404" s="29"/>
      <c r="L404" s="32"/>
      <c r="M404" s="29"/>
      <c r="N404" s="29"/>
      <c r="O404" s="33"/>
      <c r="P404" s="29"/>
      <c r="Q404" s="29"/>
      <c r="R404" s="32"/>
      <c r="S404" s="29"/>
      <c r="T404" s="34"/>
      <c r="U404" s="29"/>
      <c r="V404" s="29"/>
      <c r="W404" s="28"/>
      <c r="X404" s="28"/>
      <c r="Y404" s="35"/>
      <c r="Z404" s="28"/>
      <c r="AA404" s="36"/>
      <c r="AB404" s="36"/>
    </row>
    <row r="405">
      <c r="A405" s="28"/>
      <c r="B405" s="29"/>
      <c r="C405" s="29"/>
      <c r="D405" s="30"/>
      <c r="E405" s="31"/>
      <c r="F405" s="29"/>
      <c r="G405" s="29"/>
      <c r="H405" s="29"/>
      <c r="I405" s="29"/>
      <c r="J405" s="29"/>
      <c r="K405" s="29"/>
      <c r="L405" s="32"/>
      <c r="M405" s="29"/>
      <c r="N405" s="29"/>
      <c r="O405" s="33"/>
      <c r="P405" s="29"/>
      <c r="Q405" s="29"/>
      <c r="R405" s="32"/>
      <c r="S405" s="29"/>
      <c r="T405" s="34"/>
      <c r="U405" s="29"/>
      <c r="V405" s="29"/>
      <c r="W405" s="28"/>
      <c r="X405" s="28"/>
      <c r="Y405" s="35"/>
      <c r="Z405" s="28"/>
      <c r="AA405" s="36"/>
      <c r="AB405" s="36"/>
    </row>
    <row r="406">
      <c r="A406" s="28"/>
      <c r="B406" s="29"/>
      <c r="C406" s="29"/>
      <c r="D406" s="30"/>
      <c r="E406" s="31"/>
      <c r="F406" s="29"/>
      <c r="G406" s="29"/>
      <c r="H406" s="29"/>
      <c r="I406" s="29"/>
      <c r="J406" s="29"/>
      <c r="K406" s="29"/>
      <c r="L406" s="32"/>
      <c r="M406" s="29"/>
      <c r="N406" s="29"/>
      <c r="O406" s="33"/>
      <c r="P406" s="29"/>
      <c r="Q406" s="29"/>
      <c r="R406" s="32"/>
      <c r="S406" s="29"/>
      <c r="T406" s="34"/>
      <c r="U406" s="29"/>
      <c r="V406" s="29"/>
      <c r="W406" s="28"/>
      <c r="X406" s="28"/>
      <c r="Y406" s="35"/>
      <c r="Z406" s="28"/>
      <c r="AA406" s="36"/>
      <c r="AB406" s="36"/>
    </row>
    <row r="407">
      <c r="A407" s="28"/>
      <c r="B407" s="29"/>
      <c r="C407" s="29"/>
      <c r="D407" s="30"/>
      <c r="E407" s="31"/>
      <c r="F407" s="29"/>
      <c r="G407" s="29"/>
      <c r="H407" s="29"/>
      <c r="I407" s="29"/>
      <c r="J407" s="29"/>
      <c r="K407" s="29"/>
      <c r="L407" s="32"/>
      <c r="M407" s="29"/>
      <c r="N407" s="29"/>
      <c r="O407" s="33"/>
      <c r="P407" s="29"/>
      <c r="Q407" s="29"/>
      <c r="R407" s="32"/>
      <c r="S407" s="29"/>
      <c r="T407" s="34"/>
      <c r="U407" s="29"/>
      <c r="V407" s="29"/>
      <c r="W407" s="28"/>
      <c r="X407" s="28"/>
      <c r="Y407" s="35"/>
      <c r="Z407" s="28"/>
      <c r="AA407" s="36"/>
      <c r="AB407" s="36"/>
    </row>
    <row r="408">
      <c r="A408" s="28"/>
      <c r="B408" s="29"/>
      <c r="C408" s="29"/>
      <c r="D408" s="30"/>
      <c r="E408" s="31"/>
      <c r="F408" s="29"/>
      <c r="G408" s="29"/>
      <c r="H408" s="29"/>
      <c r="I408" s="29"/>
      <c r="J408" s="29"/>
      <c r="K408" s="29"/>
      <c r="L408" s="32"/>
      <c r="M408" s="29"/>
      <c r="N408" s="29"/>
      <c r="O408" s="33"/>
      <c r="P408" s="29"/>
      <c r="Q408" s="29"/>
      <c r="R408" s="32"/>
      <c r="S408" s="29"/>
      <c r="T408" s="34"/>
      <c r="U408" s="29"/>
      <c r="V408" s="29"/>
      <c r="W408" s="28"/>
      <c r="X408" s="28"/>
      <c r="Y408" s="35"/>
      <c r="Z408" s="28"/>
      <c r="AA408" s="36"/>
      <c r="AB408" s="36"/>
    </row>
    <row r="409">
      <c r="A409" s="28"/>
      <c r="B409" s="29"/>
      <c r="C409" s="29"/>
      <c r="D409" s="30"/>
      <c r="E409" s="31"/>
      <c r="F409" s="29"/>
      <c r="G409" s="29"/>
      <c r="H409" s="29"/>
      <c r="I409" s="29"/>
      <c r="J409" s="29"/>
      <c r="K409" s="29"/>
      <c r="L409" s="32"/>
      <c r="M409" s="29"/>
      <c r="N409" s="29"/>
      <c r="O409" s="33"/>
      <c r="P409" s="29"/>
      <c r="Q409" s="29"/>
      <c r="R409" s="32"/>
      <c r="S409" s="29"/>
      <c r="T409" s="34"/>
      <c r="U409" s="29"/>
      <c r="V409" s="29"/>
      <c r="W409" s="28"/>
      <c r="X409" s="28"/>
      <c r="Y409" s="35"/>
      <c r="Z409" s="28"/>
      <c r="AA409" s="36"/>
      <c r="AB409" s="36"/>
    </row>
    <row r="410">
      <c r="A410" s="28"/>
      <c r="B410" s="29"/>
      <c r="C410" s="29"/>
      <c r="D410" s="30"/>
      <c r="E410" s="31"/>
      <c r="F410" s="29"/>
      <c r="G410" s="29"/>
      <c r="H410" s="29"/>
      <c r="I410" s="29"/>
      <c r="J410" s="29"/>
      <c r="K410" s="29"/>
      <c r="L410" s="32"/>
      <c r="M410" s="29"/>
      <c r="N410" s="29"/>
      <c r="O410" s="33"/>
      <c r="P410" s="29"/>
      <c r="Q410" s="29"/>
      <c r="R410" s="32"/>
      <c r="S410" s="29"/>
      <c r="T410" s="34"/>
      <c r="U410" s="29"/>
      <c r="V410" s="29"/>
      <c r="W410" s="28"/>
      <c r="X410" s="28"/>
      <c r="Y410" s="35"/>
      <c r="Z410" s="28"/>
      <c r="AA410" s="36"/>
      <c r="AB410" s="36"/>
    </row>
    <row r="411">
      <c r="A411" s="28"/>
      <c r="B411" s="29"/>
      <c r="C411" s="29"/>
      <c r="D411" s="30"/>
      <c r="E411" s="31"/>
      <c r="F411" s="29"/>
      <c r="G411" s="29"/>
      <c r="H411" s="29"/>
      <c r="I411" s="29"/>
      <c r="J411" s="29"/>
      <c r="K411" s="29"/>
      <c r="L411" s="32"/>
      <c r="M411" s="29"/>
      <c r="N411" s="29"/>
      <c r="O411" s="33"/>
      <c r="P411" s="29"/>
      <c r="Q411" s="29"/>
      <c r="R411" s="32"/>
      <c r="S411" s="29"/>
      <c r="T411" s="34"/>
      <c r="U411" s="29"/>
      <c r="V411" s="29"/>
      <c r="W411" s="28"/>
      <c r="X411" s="28"/>
      <c r="Y411" s="35"/>
      <c r="Z411" s="28"/>
      <c r="AA411" s="36"/>
      <c r="AB411" s="36"/>
    </row>
    <row r="412">
      <c r="A412" s="28"/>
      <c r="B412" s="29"/>
      <c r="C412" s="29"/>
      <c r="D412" s="30"/>
      <c r="E412" s="31"/>
      <c r="F412" s="29"/>
      <c r="G412" s="29"/>
      <c r="H412" s="29"/>
      <c r="I412" s="29"/>
      <c r="J412" s="29"/>
      <c r="K412" s="29"/>
      <c r="L412" s="32"/>
      <c r="M412" s="29"/>
      <c r="N412" s="29"/>
      <c r="O412" s="33"/>
      <c r="P412" s="29"/>
      <c r="Q412" s="29"/>
      <c r="R412" s="32"/>
      <c r="S412" s="29"/>
      <c r="T412" s="34"/>
      <c r="U412" s="29"/>
      <c r="V412" s="29"/>
      <c r="W412" s="28"/>
      <c r="X412" s="28"/>
      <c r="Y412" s="35"/>
      <c r="Z412" s="28"/>
      <c r="AA412" s="36"/>
      <c r="AB412" s="36"/>
    </row>
    <row r="413">
      <c r="A413" s="28"/>
      <c r="B413" s="29"/>
      <c r="C413" s="29"/>
      <c r="D413" s="30"/>
      <c r="E413" s="31"/>
      <c r="F413" s="29"/>
      <c r="G413" s="29"/>
      <c r="H413" s="29"/>
      <c r="I413" s="29"/>
      <c r="J413" s="29"/>
      <c r="K413" s="29"/>
      <c r="L413" s="32"/>
      <c r="M413" s="29"/>
      <c r="N413" s="29"/>
      <c r="O413" s="33"/>
      <c r="P413" s="29"/>
      <c r="Q413" s="29"/>
      <c r="R413" s="32"/>
      <c r="S413" s="29"/>
      <c r="T413" s="34"/>
      <c r="U413" s="29"/>
      <c r="V413" s="29"/>
      <c r="W413" s="28"/>
      <c r="X413" s="28"/>
      <c r="Y413" s="35"/>
      <c r="Z413" s="28"/>
      <c r="AA413" s="36"/>
      <c r="AB413" s="36"/>
    </row>
    <row r="414">
      <c r="A414" s="28"/>
      <c r="B414" s="29"/>
      <c r="C414" s="29"/>
      <c r="D414" s="30"/>
      <c r="E414" s="31"/>
      <c r="F414" s="29"/>
      <c r="G414" s="29"/>
      <c r="H414" s="29"/>
      <c r="I414" s="29"/>
      <c r="J414" s="29"/>
      <c r="K414" s="29"/>
      <c r="L414" s="32"/>
      <c r="M414" s="29"/>
      <c r="N414" s="29"/>
      <c r="O414" s="33"/>
      <c r="P414" s="29"/>
      <c r="Q414" s="29"/>
      <c r="R414" s="32"/>
      <c r="S414" s="29"/>
      <c r="T414" s="34"/>
      <c r="U414" s="29"/>
      <c r="V414" s="29"/>
      <c r="W414" s="28"/>
      <c r="X414" s="28"/>
      <c r="Y414" s="35"/>
      <c r="Z414" s="28"/>
      <c r="AA414" s="36"/>
      <c r="AB414" s="36"/>
    </row>
    <row r="415">
      <c r="A415" s="28"/>
      <c r="B415" s="29"/>
      <c r="C415" s="29"/>
      <c r="D415" s="30"/>
      <c r="E415" s="31"/>
      <c r="F415" s="29"/>
      <c r="G415" s="29"/>
      <c r="H415" s="29"/>
      <c r="I415" s="29"/>
      <c r="J415" s="29"/>
      <c r="K415" s="29"/>
      <c r="L415" s="32"/>
      <c r="M415" s="29"/>
      <c r="N415" s="29"/>
      <c r="O415" s="33"/>
      <c r="P415" s="29"/>
      <c r="Q415" s="29"/>
      <c r="R415" s="32"/>
      <c r="S415" s="29"/>
      <c r="T415" s="34"/>
      <c r="U415" s="29"/>
      <c r="V415" s="29"/>
      <c r="W415" s="28"/>
      <c r="X415" s="28"/>
      <c r="Y415" s="35"/>
      <c r="Z415" s="28"/>
      <c r="AA415" s="36"/>
      <c r="AB415" s="36"/>
    </row>
    <row r="416">
      <c r="A416" s="28"/>
      <c r="B416" s="29"/>
      <c r="C416" s="29"/>
      <c r="D416" s="30"/>
      <c r="E416" s="31"/>
      <c r="F416" s="29"/>
      <c r="G416" s="29"/>
      <c r="H416" s="29"/>
      <c r="I416" s="29"/>
      <c r="J416" s="29"/>
      <c r="K416" s="29"/>
      <c r="L416" s="32"/>
      <c r="M416" s="29"/>
      <c r="N416" s="29"/>
      <c r="O416" s="33"/>
      <c r="P416" s="29"/>
      <c r="Q416" s="29"/>
      <c r="R416" s="32"/>
      <c r="S416" s="29"/>
      <c r="T416" s="34"/>
      <c r="U416" s="29"/>
      <c r="V416" s="29"/>
      <c r="W416" s="28"/>
      <c r="X416" s="28"/>
      <c r="Y416" s="35"/>
      <c r="Z416" s="28"/>
      <c r="AA416" s="36"/>
      <c r="AB416" s="36"/>
    </row>
    <row r="417">
      <c r="A417" s="28"/>
      <c r="B417" s="29"/>
      <c r="C417" s="29"/>
      <c r="D417" s="30"/>
      <c r="E417" s="31"/>
      <c r="F417" s="29"/>
      <c r="G417" s="29"/>
      <c r="H417" s="29"/>
      <c r="I417" s="29"/>
      <c r="J417" s="29"/>
      <c r="K417" s="29"/>
      <c r="L417" s="32"/>
      <c r="M417" s="29"/>
      <c r="N417" s="29"/>
      <c r="O417" s="33"/>
      <c r="P417" s="29"/>
      <c r="Q417" s="29"/>
      <c r="R417" s="32"/>
      <c r="S417" s="29"/>
      <c r="T417" s="34"/>
      <c r="U417" s="29"/>
      <c r="V417" s="29"/>
      <c r="W417" s="28"/>
      <c r="X417" s="28"/>
      <c r="Y417" s="35"/>
      <c r="Z417" s="28"/>
      <c r="AA417" s="36"/>
      <c r="AB417" s="36"/>
    </row>
    <row r="418">
      <c r="A418" s="28"/>
      <c r="B418" s="29"/>
      <c r="C418" s="29"/>
      <c r="D418" s="30"/>
      <c r="E418" s="31"/>
      <c r="F418" s="29"/>
      <c r="G418" s="29"/>
      <c r="H418" s="29"/>
      <c r="I418" s="29"/>
      <c r="J418" s="29"/>
      <c r="K418" s="29"/>
      <c r="L418" s="32"/>
      <c r="M418" s="29"/>
      <c r="N418" s="29"/>
      <c r="O418" s="33"/>
      <c r="P418" s="29"/>
      <c r="Q418" s="29"/>
      <c r="R418" s="32"/>
      <c r="S418" s="29"/>
      <c r="T418" s="34"/>
      <c r="U418" s="29"/>
      <c r="V418" s="29"/>
      <c r="W418" s="28"/>
      <c r="X418" s="28"/>
      <c r="Y418" s="35"/>
      <c r="Z418" s="28"/>
      <c r="AA418" s="36"/>
      <c r="AB418" s="36"/>
    </row>
    <row r="419">
      <c r="A419" s="28"/>
      <c r="B419" s="29"/>
      <c r="C419" s="29"/>
      <c r="D419" s="30"/>
      <c r="E419" s="31"/>
      <c r="F419" s="29"/>
      <c r="G419" s="29"/>
      <c r="H419" s="29"/>
      <c r="I419" s="29"/>
      <c r="J419" s="29"/>
      <c r="K419" s="29"/>
      <c r="L419" s="32"/>
      <c r="M419" s="29"/>
      <c r="N419" s="29"/>
      <c r="O419" s="33"/>
      <c r="P419" s="29"/>
      <c r="Q419" s="29"/>
      <c r="R419" s="32"/>
      <c r="S419" s="29"/>
      <c r="T419" s="34"/>
      <c r="U419" s="29"/>
      <c r="V419" s="29"/>
      <c r="W419" s="28"/>
      <c r="X419" s="28"/>
      <c r="Y419" s="35"/>
      <c r="Z419" s="28"/>
      <c r="AA419" s="36"/>
      <c r="AB419" s="36"/>
    </row>
    <row r="420">
      <c r="A420" s="28"/>
      <c r="B420" s="29"/>
      <c r="C420" s="29"/>
      <c r="D420" s="30"/>
      <c r="E420" s="31"/>
      <c r="F420" s="29"/>
      <c r="G420" s="29"/>
      <c r="H420" s="29"/>
      <c r="I420" s="29"/>
      <c r="J420" s="29"/>
      <c r="K420" s="29"/>
      <c r="L420" s="32"/>
      <c r="M420" s="29"/>
      <c r="N420" s="29"/>
      <c r="O420" s="33"/>
      <c r="P420" s="29"/>
      <c r="Q420" s="29"/>
      <c r="R420" s="32"/>
      <c r="S420" s="29"/>
      <c r="T420" s="34"/>
      <c r="U420" s="29"/>
      <c r="V420" s="29"/>
      <c r="W420" s="28"/>
      <c r="X420" s="28"/>
      <c r="Y420" s="35"/>
      <c r="Z420" s="28"/>
      <c r="AA420" s="36"/>
      <c r="AB420" s="36"/>
    </row>
    <row r="421">
      <c r="A421" s="28"/>
      <c r="B421" s="29"/>
      <c r="C421" s="29"/>
      <c r="D421" s="30"/>
      <c r="E421" s="31"/>
      <c r="F421" s="29"/>
      <c r="G421" s="29"/>
      <c r="H421" s="29"/>
      <c r="I421" s="29"/>
      <c r="J421" s="29"/>
      <c r="K421" s="29"/>
      <c r="L421" s="32"/>
      <c r="M421" s="29"/>
      <c r="N421" s="29"/>
      <c r="O421" s="33"/>
      <c r="P421" s="29"/>
      <c r="Q421" s="29"/>
      <c r="R421" s="32"/>
      <c r="S421" s="29"/>
      <c r="T421" s="34"/>
      <c r="U421" s="29"/>
      <c r="V421" s="29"/>
      <c r="W421" s="28"/>
      <c r="X421" s="28"/>
      <c r="Y421" s="35"/>
      <c r="Z421" s="28"/>
      <c r="AA421" s="36"/>
      <c r="AB421" s="36"/>
    </row>
    <row r="422">
      <c r="A422" s="28"/>
      <c r="B422" s="29"/>
      <c r="C422" s="29"/>
      <c r="D422" s="30"/>
      <c r="E422" s="31"/>
      <c r="F422" s="29"/>
      <c r="G422" s="29"/>
      <c r="H422" s="29"/>
      <c r="I422" s="29"/>
      <c r="J422" s="29"/>
      <c r="K422" s="29"/>
      <c r="L422" s="32"/>
      <c r="M422" s="29"/>
      <c r="N422" s="29"/>
      <c r="O422" s="33"/>
      <c r="P422" s="29"/>
      <c r="Q422" s="29"/>
      <c r="R422" s="32"/>
      <c r="S422" s="29"/>
      <c r="T422" s="34"/>
      <c r="U422" s="29"/>
      <c r="V422" s="29"/>
      <c r="W422" s="28"/>
      <c r="X422" s="28"/>
      <c r="Y422" s="35"/>
      <c r="Z422" s="28"/>
      <c r="AA422" s="36"/>
      <c r="AB422" s="36"/>
    </row>
    <row r="423">
      <c r="A423" s="28"/>
      <c r="B423" s="29"/>
      <c r="C423" s="29"/>
      <c r="D423" s="30"/>
      <c r="E423" s="31"/>
      <c r="F423" s="29"/>
      <c r="G423" s="29"/>
      <c r="H423" s="29"/>
      <c r="I423" s="29"/>
      <c r="J423" s="29"/>
      <c r="K423" s="29"/>
      <c r="L423" s="32"/>
      <c r="M423" s="29"/>
      <c r="N423" s="29"/>
      <c r="O423" s="33"/>
      <c r="P423" s="29"/>
      <c r="Q423" s="29"/>
      <c r="R423" s="32"/>
      <c r="S423" s="29"/>
      <c r="T423" s="34"/>
      <c r="U423" s="29"/>
      <c r="V423" s="29"/>
      <c r="W423" s="28"/>
      <c r="X423" s="28"/>
      <c r="Y423" s="35"/>
      <c r="Z423" s="28"/>
      <c r="AA423" s="36"/>
      <c r="AB423" s="36"/>
    </row>
    <row r="424">
      <c r="A424" s="28"/>
      <c r="B424" s="29"/>
      <c r="C424" s="29"/>
      <c r="D424" s="30"/>
      <c r="E424" s="31"/>
      <c r="F424" s="29"/>
      <c r="G424" s="29"/>
      <c r="H424" s="29"/>
      <c r="I424" s="29"/>
      <c r="J424" s="29"/>
      <c r="K424" s="29"/>
      <c r="L424" s="32"/>
      <c r="M424" s="29"/>
      <c r="N424" s="29"/>
      <c r="O424" s="33"/>
      <c r="P424" s="29"/>
      <c r="Q424" s="29"/>
      <c r="R424" s="32"/>
      <c r="S424" s="29"/>
      <c r="T424" s="34"/>
      <c r="U424" s="29"/>
      <c r="V424" s="29"/>
      <c r="W424" s="28"/>
      <c r="X424" s="28"/>
      <c r="Y424" s="35"/>
      <c r="Z424" s="28"/>
      <c r="AA424" s="36"/>
      <c r="AB424" s="36"/>
    </row>
    <row r="425">
      <c r="A425" s="28"/>
      <c r="B425" s="29"/>
      <c r="C425" s="29"/>
      <c r="D425" s="30"/>
      <c r="E425" s="31"/>
      <c r="F425" s="29"/>
      <c r="G425" s="29"/>
      <c r="H425" s="29"/>
      <c r="I425" s="29"/>
      <c r="J425" s="29"/>
      <c r="K425" s="29"/>
      <c r="L425" s="32"/>
      <c r="M425" s="29"/>
      <c r="N425" s="29"/>
      <c r="O425" s="33"/>
      <c r="P425" s="29"/>
      <c r="Q425" s="29"/>
      <c r="R425" s="32"/>
      <c r="S425" s="29"/>
      <c r="T425" s="34"/>
      <c r="U425" s="29"/>
      <c r="V425" s="29"/>
      <c r="W425" s="28"/>
      <c r="X425" s="28"/>
      <c r="Y425" s="35"/>
      <c r="Z425" s="28"/>
      <c r="AA425" s="36"/>
      <c r="AB425" s="36"/>
    </row>
    <row r="426">
      <c r="A426" s="28"/>
      <c r="B426" s="29"/>
      <c r="C426" s="29"/>
      <c r="D426" s="30"/>
      <c r="E426" s="31"/>
      <c r="F426" s="29"/>
      <c r="G426" s="29"/>
      <c r="H426" s="29"/>
      <c r="I426" s="29"/>
      <c r="J426" s="29"/>
      <c r="K426" s="29"/>
      <c r="L426" s="32"/>
      <c r="M426" s="29"/>
      <c r="N426" s="29"/>
      <c r="O426" s="33"/>
      <c r="P426" s="29"/>
      <c r="Q426" s="29"/>
      <c r="R426" s="32"/>
      <c r="S426" s="29"/>
      <c r="T426" s="34"/>
      <c r="U426" s="29"/>
      <c r="V426" s="29"/>
      <c r="W426" s="28"/>
      <c r="X426" s="28"/>
      <c r="Y426" s="35"/>
      <c r="Z426" s="28"/>
      <c r="AA426" s="36"/>
      <c r="AB426" s="36"/>
    </row>
    <row r="427">
      <c r="A427" s="28"/>
      <c r="B427" s="29"/>
      <c r="C427" s="29"/>
      <c r="D427" s="30"/>
      <c r="E427" s="31"/>
      <c r="F427" s="29"/>
      <c r="G427" s="29"/>
      <c r="H427" s="29"/>
      <c r="I427" s="29"/>
      <c r="J427" s="29"/>
      <c r="K427" s="29"/>
      <c r="L427" s="32"/>
      <c r="M427" s="29"/>
      <c r="N427" s="29"/>
      <c r="O427" s="33"/>
      <c r="P427" s="29"/>
      <c r="Q427" s="29"/>
      <c r="R427" s="32"/>
      <c r="S427" s="29"/>
      <c r="T427" s="34"/>
      <c r="U427" s="29"/>
      <c r="V427" s="29"/>
      <c r="W427" s="28"/>
      <c r="X427" s="28"/>
      <c r="Y427" s="35"/>
      <c r="Z427" s="28"/>
      <c r="AA427" s="36"/>
      <c r="AB427" s="36"/>
    </row>
    <row r="428">
      <c r="A428" s="28"/>
      <c r="B428" s="29"/>
      <c r="C428" s="29"/>
      <c r="D428" s="30"/>
      <c r="E428" s="31"/>
      <c r="F428" s="29"/>
      <c r="G428" s="29"/>
      <c r="H428" s="29"/>
      <c r="I428" s="29"/>
      <c r="J428" s="29"/>
      <c r="K428" s="29"/>
      <c r="L428" s="32"/>
      <c r="M428" s="29"/>
      <c r="N428" s="29"/>
      <c r="O428" s="33"/>
      <c r="P428" s="29"/>
      <c r="Q428" s="29"/>
      <c r="R428" s="32"/>
      <c r="S428" s="29"/>
      <c r="T428" s="34"/>
      <c r="U428" s="29"/>
      <c r="V428" s="29"/>
      <c r="W428" s="28"/>
      <c r="X428" s="28"/>
      <c r="Y428" s="35"/>
      <c r="Z428" s="28"/>
      <c r="AA428" s="36"/>
      <c r="AB428" s="36"/>
    </row>
    <row r="429">
      <c r="A429" s="28"/>
      <c r="B429" s="29"/>
      <c r="C429" s="29"/>
      <c r="D429" s="30"/>
      <c r="E429" s="31"/>
      <c r="F429" s="29"/>
      <c r="G429" s="29"/>
      <c r="H429" s="29"/>
      <c r="I429" s="29"/>
      <c r="J429" s="29"/>
      <c r="K429" s="29"/>
      <c r="L429" s="32"/>
      <c r="M429" s="29"/>
      <c r="N429" s="29"/>
      <c r="O429" s="33"/>
      <c r="P429" s="29"/>
      <c r="Q429" s="29"/>
      <c r="R429" s="32"/>
      <c r="S429" s="29"/>
      <c r="T429" s="34"/>
      <c r="U429" s="29"/>
      <c r="V429" s="29"/>
      <c r="W429" s="28"/>
      <c r="X429" s="28"/>
      <c r="Y429" s="35"/>
      <c r="Z429" s="28"/>
      <c r="AA429" s="36"/>
      <c r="AB429" s="36"/>
    </row>
    <row r="430">
      <c r="A430" s="28"/>
      <c r="B430" s="29"/>
      <c r="C430" s="29"/>
      <c r="D430" s="30"/>
      <c r="E430" s="31"/>
      <c r="F430" s="29"/>
      <c r="G430" s="29"/>
      <c r="H430" s="29"/>
      <c r="I430" s="29"/>
      <c r="J430" s="29"/>
      <c r="K430" s="29"/>
      <c r="L430" s="32"/>
      <c r="M430" s="29"/>
      <c r="N430" s="29"/>
      <c r="O430" s="33"/>
      <c r="P430" s="29"/>
      <c r="Q430" s="29"/>
      <c r="R430" s="32"/>
      <c r="S430" s="29"/>
      <c r="T430" s="34"/>
      <c r="U430" s="29"/>
      <c r="V430" s="29"/>
      <c r="W430" s="28"/>
      <c r="X430" s="28"/>
      <c r="Y430" s="35"/>
      <c r="Z430" s="28"/>
      <c r="AA430" s="36"/>
      <c r="AB430" s="36"/>
    </row>
    <row r="431">
      <c r="A431" s="28"/>
      <c r="B431" s="29"/>
      <c r="C431" s="29"/>
      <c r="D431" s="30"/>
      <c r="E431" s="31"/>
      <c r="F431" s="29"/>
      <c r="G431" s="29"/>
      <c r="H431" s="29"/>
      <c r="I431" s="29"/>
      <c r="J431" s="29"/>
      <c r="K431" s="29"/>
      <c r="L431" s="32"/>
      <c r="M431" s="29"/>
      <c r="N431" s="29"/>
      <c r="O431" s="33"/>
      <c r="P431" s="29"/>
      <c r="Q431" s="29"/>
      <c r="R431" s="32"/>
      <c r="S431" s="29"/>
      <c r="T431" s="34"/>
      <c r="U431" s="29"/>
      <c r="V431" s="29"/>
      <c r="W431" s="28"/>
      <c r="X431" s="28"/>
      <c r="Y431" s="35"/>
      <c r="Z431" s="28"/>
      <c r="AA431" s="36"/>
      <c r="AB431" s="36"/>
    </row>
    <row r="432">
      <c r="A432" s="28"/>
      <c r="B432" s="29"/>
      <c r="C432" s="29"/>
      <c r="D432" s="30"/>
      <c r="E432" s="31"/>
      <c r="F432" s="29"/>
      <c r="G432" s="29"/>
      <c r="H432" s="29"/>
      <c r="I432" s="29"/>
      <c r="J432" s="29"/>
      <c r="K432" s="29"/>
      <c r="L432" s="32"/>
      <c r="M432" s="29"/>
      <c r="N432" s="29"/>
      <c r="O432" s="33"/>
      <c r="P432" s="29"/>
      <c r="Q432" s="29"/>
      <c r="R432" s="32"/>
      <c r="S432" s="29"/>
      <c r="T432" s="34"/>
      <c r="U432" s="29"/>
      <c r="V432" s="29"/>
      <c r="W432" s="28"/>
      <c r="X432" s="28"/>
      <c r="Y432" s="35"/>
      <c r="Z432" s="28"/>
      <c r="AA432" s="36"/>
      <c r="AB432" s="36"/>
    </row>
    <row r="433">
      <c r="A433" s="28"/>
      <c r="B433" s="29"/>
      <c r="C433" s="29"/>
      <c r="D433" s="30"/>
      <c r="E433" s="31"/>
      <c r="F433" s="29"/>
      <c r="G433" s="29"/>
      <c r="H433" s="29"/>
      <c r="I433" s="29"/>
      <c r="J433" s="29"/>
      <c r="K433" s="29"/>
      <c r="L433" s="32"/>
      <c r="M433" s="29"/>
      <c r="N433" s="29"/>
      <c r="O433" s="33"/>
      <c r="P433" s="29"/>
      <c r="Q433" s="29"/>
      <c r="R433" s="32"/>
      <c r="S433" s="29"/>
      <c r="T433" s="34"/>
      <c r="U433" s="29"/>
      <c r="V433" s="29"/>
      <c r="W433" s="28"/>
      <c r="X433" s="28"/>
      <c r="Y433" s="35"/>
      <c r="Z433" s="28"/>
      <c r="AA433" s="36"/>
      <c r="AB433" s="36"/>
    </row>
    <row r="434">
      <c r="A434" s="28"/>
      <c r="B434" s="29"/>
      <c r="C434" s="29"/>
      <c r="D434" s="30"/>
      <c r="E434" s="31"/>
      <c r="F434" s="29"/>
      <c r="G434" s="29"/>
      <c r="H434" s="29"/>
      <c r="I434" s="29"/>
      <c r="J434" s="29"/>
      <c r="K434" s="29"/>
      <c r="L434" s="32"/>
      <c r="M434" s="29"/>
      <c r="N434" s="29"/>
      <c r="O434" s="33"/>
      <c r="P434" s="29"/>
      <c r="Q434" s="29"/>
      <c r="R434" s="32"/>
      <c r="S434" s="29"/>
      <c r="T434" s="34"/>
      <c r="U434" s="29"/>
      <c r="V434" s="29"/>
      <c r="W434" s="28"/>
      <c r="X434" s="28"/>
      <c r="Y434" s="35"/>
      <c r="Z434" s="28"/>
      <c r="AA434" s="36"/>
      <c r="AB434" s="36"/>
    </row>
    <row r="435">
      <c r="A435" s="28"/>
      <c r="B435" s="29"/>
      <c r="C435" s="29"/>
      <c r="D435" s="30"/>
      <c r="E435" s="31"/>
      <c r="F435" s="29"/>
      <c r="G435" s="29"/>
      <c r="H435" s="29"/>
      <c r="I435" s="29"/>
      <c r="J435" s="29"/>
      <c r="K435" s="29"/>
      <c r="L435" s="32"/>
      <c r="M435" s="29"/>
      <c r="N435" s="29"/>
      <c r="O435" s="33"/>
      <c r="P435" s="29"/>
      <c r="Q435" s="29"/>
      <c r="R435" s="32"/>
      <c r="S435" s="29"/>
      <c r="T435" s="34"/>
      <c r="U435" s="29"/>
      <c r="V435" s="29"/>
      <c r="W435" s="28"/>
      <c r="X435" s="28"/>
      <c r="Y435" s="35"/>
      <c r="Z435" s="28"/>
      <c r="AA435" s="36"/>
      <c r="AB435" s="36"/>
    </row>
    <row r="436">
      <c r="A436" s="28"/>
      <c r="B436" s="29"/>
      <c r="C436" s="29"/>
      <c r="D436" s="30"/>
      <c r="E436" s="31"/>
      <c r="F436" s="29"/>
      <c r="G436" s="29"/>
      <c r="H436" s="29"/>
      <c r="I436" s="29"/>
      <c r="J436" s="29"/>
      <c r="K436" s="29"/>
      <c r="L436" s="32"/>
      <c r="M436" s="29"/>
      <c r="N436" s="29"/>
      <c r="O436" s="33"/>
      <c r="P436" s="29"/>
      <c r="Q436" s="29"/>
      <c r="R436" s="32"/>
      <c r="S436" s="29"/>
      <c r="T436" s="34"/>
      <c r="U436" s="29"/>
      <c r="V436" s="29"/>
      <c r="W436" s="28"/>
      <c r="X436" s="28"/>
      <c r="Y436" s="35"/>
      <c r="Z436" s="28"/>
      <c r="AA436" s="36"/>
      <c r="AB436" s="36"/>
    </row>
    <row r="437">
      <c r="A437" s="28"/>
      <c r="B437" s="29"/>
      <c r="C437" s="29"/>
      <c r="D437" s="30"/>
      <c r="E437" s="31"/>
      <c r="F437" s="29"/>
      <c r="G437" s="29"/>
      <c r="H437" s="29"/>
      <c r="I437" s="29"/>
      <c r="J437" s="29"/>
      <c r="K437" s="29"/>
      <c r="L437" s="32"/>
      <c r="M437" s="29"/>
      <c r="N437" s="29"/>
      <c r="O437" s="33"/>
      <c r="P437" s="29"/>
      <c r="Q437" s="29"/>
      <c r="R437" s="32"/>
      <c r="S437" s="29"/>
      <c r="T437" s="34"/>
      <c r="U437" s="29"/>
      <c r="V437" s="29"/>
      <c r="W437" s="28"/>
      <c r="X437" s="28"/>
      <c r="Y437" s="35"/>
      <c r="Z437" s="28"/>
      <c r="AA437" s="36"/>
      <c r="AB437" s="36"/>
    </row>
    <row r="438">
      <c r="A438" s="28"/>
      <c r="B438" s="29"/>
      <c r="C438" s="29"/>
      <c r="D438" s="30"/>
      <c r="E438" s="31"/>
      <c r="F438" s="29"/>
      <c r="G438" s="29"/>
      <c r="H438" s="29"/>
      <c r="I438" s="29"/>
      <c r="J438" s="29"/>
      <c r="K438" s="29"/>
      <c r="L438" s="32"/>
      <c r="M438" s="29"/>
      <c r="N438" s="29"/>
      <c r="O438" s="33"/>
      <c r="P438" s="29"/>
      <c r="Q438" s="29"/>
      <c r="R438" s="32"/>
      <c r="S438" s="29"/>
      <c r="T438" s="34"/>
      <c r="U438" s="29"/>
      <c r="V438" s="29"/>
      <c r="W438" s="28"/>
      <c r="X438" s="28"/>
      <c r="Y438" s="35"/>
      <c r="Z438" s="28"/>
      <c r="AA438" s="36"/>
      <c r="AB438" s="36"/>
    </row>
    <row r="439">
      <c r="A439" s="28"/>
      <c r="B439" s="29"/>
      <c r="C439" s="29"/>
      <c r="D439" s="30"/>
      <c r="E439" s="31"/>
      <c r="F439" s="29"/>
      <c r="G439" s="29"/>
      <c r="H439" s="29"/>
      <c r="I439" s="29"/>
      <c r="J439" s="29"/>
      <c r="K439" s="29"/>
      <c r="L439" s="32"/>
      <c r="M439" s="29"/>
      <c r="N439" s="29"/>
      <c r="O439" s="33"/>
      <c r="P439" s="29"/>
      <c r="Q439" s="29"/>
      <c r="R439" s="32"/>
      <c r="S439" s="29"/>
      <c r="T439" s="34"/>
      <c r="U439" s="29"/>
      <c r="V439" s="29"/>
      <c r="W439" s="28"/>
      <c r="X439" s="28"/>
      <c r="Y439" s="35"/>
      <c r="Z439" s="28"/>
      <c r="AA439" s="36"/>
      <c r="AB439" s="36"/>
    </row>
    <row r="440">
      <c r="A440" s="28"/>
      <c r="B440" s="29"/>
      <c r="C440" s="29"/>
      <c r="D440" s="30"/>
      <c r="E440" s="31"/>
      <c r="F440" s="29"/>
      <c r="G440" s="29"/>
      <c r="H440" s="29"/>
      <c r="I440" s="29"/>
      <c r="J440" s="29"/>
      <c r="K440" s="29"/>
      <c r="L440" s="32"/>
      <c r="M440" s="29"/>
      <c r="N440" s="29"/>
      <c r="O440" s="33"/>
      <c r="P440" s="29"/>
      <c r="Q440" s="29"/>
      <c r="R440" s="32"/>
      <c r="S440" s="29"/>
      <c r="T440" s="34"/>
      <c r="U440" s="29"/>
      <c r="V440" s="29"/>
      <c r="W440" s="28"/>
      <c r="X440" s="28"/>
      <c r="Y440" s="35"/>
      <c r="Z440" s="28"/>
      <c r="AA440" s="36"/>
      <c r="AB440" s="36"/>
    </row>
    <row r="441">
      <c r="A441" s="28"/>
      <c r="B441" s="29"/>
      <c r="C441" s="29"/>
      <c r="D441" s="30"/>
      <c r="E441" s="31"/>
      <c r="F441" s="29"/>
      <c r="G441" s="29"/>
      <c r="H441" s="29"/>
      <c r="I441" s="29"/>
      <c r="J441" s="29"/>
      <c r="K441" s="29"/>
      <c r="L441" s="32"/>
      <c r="M441" s="29"/>
      <c r="N441" s="29"/>
      <c r="O441" s="33"/>
      <c r="P441" s="29"/>
      <c r="Q441" s="29"/>
      <c r="R441" s="32"/>
      <c r="S441" s="29"/>
      <c r="T441" s="34"/>
      <c r="U441" s="29"/>
      <c r="V441" s="29"/>
      <c r="W441" s="28"/>
      <c r="X441" s="28"/>
      <c r="Y441" s="35"/>
      <c r="Z441" s="28"/>
      <c r="AA441" s="36"/>
      <c r="AB441" s="36"/>
    </row>
    <row r="442">
      <c r="A442" s="28"/>
      <c r="B442" s="29"/>
      <c r="C442" s="29"/>
      <c r="D442" s="30"/>
      <c r="E442" s="31"/>
      <c r="F442" s="29"/>
      <c r="G442" s="29"/>
      <c r="H442" s="29"/>
      <c r="I442" s="29"/>
      <c r="J442" s="29"/>
      <c r="K442" s="29"/>
      <c r="L442" s="32"/>
      <c r="M442" s="29"/>
      <c r="N442" s="29"/>
      <c r="O442" s="33"/>
      <c r="P442" s="29"/>
      <c r="Q442" s="29"/>
      <c r="R442" s="32"/>
      <c r="S442" s="29"/>
      <c r="T442" s="34"/>
      <c r="U442" s="29"/>
      <c r="V442" s="29"/>
      <c r="W442" s="28"/>
      <c r="X442" s="28"/>
      <c r="Y442" s="35"/>
      <c r="Z442" s="28"/>
      <c r="AA442" s="36"/>
      <c r="AB442" s="36"/>
    </row>
    <row r="443">
      <c r="A443" s="28"/>
      <c r="B443" s="29"/>
      <c r="C443" s="29"/>
      <c r="D443" s="30"/>
      <c r="E443" s="31"/>
      <c r="F443" s="29"/>
      <c r="G443" s="29"/>
      <c r="H443" s="29"/>
      <c r="I443" s="29"/>
      <c r="J443" s="29"/>
      <c r="K443" s="29"/>
      <c r="L443" s="32"/>
      <c r="M443" s="29"/>
      <c r="N443" s="29"/>
      <c r="O443" s="33"/>
      <c r="P443" s="29"/>
      <c r="Q443" s="29"/>
      <c r="R443" s="32"/>
      <c r="S443" s="29"/>
      <c r="T443" s="34"/>
      <c r="U443" s="29"/>
      <c r="V443" s="29"/>
      <c r="W443" s="28"/>
      <c r="X443" s="28"/>
      <c r="Y443" s="35"/>
      <c r="Z443" s="28"/>
      <c r="AA443" s="36"/>
      <c r="AB443" s="36"/>
    </row>
    <row r="444">
      <c r="A444" s="28"/>
      <c r="B444" s="29"/>
      <c r="C444" s="29"/>
      <c r="D444" s="30"/>
      <c r="E444" s="31"/>
      <c r="F444" s="29"/>
      <c r="G444" s="29"/>
      <c r="H444" s="29"/>
      <c r="I444" s="29"/>
      <c r="J444" s="29"/>
      <c r="K444" s="29"/>
      <c r="L444" s="32"/>
      <c r="M444" s="29"/>
      <c r="N444" s="29"/>
      <c r="O444" s="33"/>
      <c r="P444" s="29"/>
      <c r="Q444" s="29"/>
      <c r="R444" s="32"/>
      <c r="S444" s="29"/>
      <c r="T444" s="34"/>
      <c r="U444" s="29"/>
      <c r="V444" s="29"/>
      <c r="W444" s="28"/>
      <c r="X444" s="28"/>
      <c r="Y444" s="35"/>
      <c r="Z444" s="28"/>
      <c r="AA444" s="36"/>
      <c r="AB444" s="36"/>
    </row>
    <row r="445">
      <c r="A445" s="28"/>
      <c r="B445" s="29"/>
      <c r="C445" s="29"/>
      <c r="D445" s="30"/>
      <c r="E445" s="31"/>
      <c r="F445" s="29"/>
      <c r="G445" s="29"/>
      <c r="H445" s="29"/>
      <c r="I445" s="29"/>
      <c r="J445" s="29"/>
      <c r="K445" s="29"/>
      <c r="L445" s="32"/>
      <c r="M445" s="29"/>
      <c r="N445" s="29"/>
      <c r="O445" s="33"/>
      <c r="P445" s="29"/>
      <c r="Q445" s="29"/>
      <c r="R445" s="32"/>
      <c r="S445" s="29"/>
      <c r="T445" s="34"/>
      <c r="U445" s="29"/>
      <c r="V445" s="29"/>
      <c r="W445" s="28"/>
      <c r="X445" s="28"/>
      <c r="Y445" s="35"/>
      <c r="Z445" s="28"/>
      <c r="AA445" s="36"/>
      <c r="AB445" s="36"/>
    </row>
    <row r="446">
      <c r="A446" s="28"/>
      <c r="B446" s="29"/>
      <c r="C446" s="29"/>
      <c r="D446" s="30"/>
      <c r="E446" s="31"/>
      <c r="F446" s="29"/>
      <c r="G446" s="29"/>
      <c r="H446" s="29"/>
      <c r="I446" s="29"/>
      <c r="J446" s="29"/>
      <c r="K446" s="29"/>
      <c r="L446" s="32"/>
      <c r="M446" s="29"/>
      <c r="N446" s="29"/>
      <c r="O446" s="33"/>
      <c r="P446" s="29"/>
      <c r="Q446" s="29"/>
      <c r="R446" s="32"/>
      <c r="S446" s="29"/>
      <c r="T446" s="34"/>
      <c r="U446" s="29"/>
      <c r="V446" s="29"/>
      <c r="W446" s="28"/>
      <c r="X446" s="28"/>
      <c r="Y446" s="35"/>
      <c r="Z446" s="28"/>
      <c r="AA446" s="36"/>
      <c r="AB446" s="36"/>
    </row>
    <row r="447">
      <c r="A447" s="28"/>
      <c r="B447" s="29"/>
      <c r="C447" s="29"/>
      <c r="D447" s="30"/>
      <c r="E447" s="31"/>
      <c r="F447" s="29"/>
      <c r="G447" s="29"/>
      <c r="H447" s="29"/>
      <c r="I447" s="29"/>
      <c r="J447" s="29"/>
      <c r="K447" s="29"/>
      <c r="L447" s="32"/>
      <c r="M447" s="29"/>
      <c r="N447" s="29"/>
      <c r="O447" s="33"/>
      <c r="P447" s="29"/>
      <c r="Q447" s="29"/>
      <c r="R447" s="32"/>
      <c r="S447" s="29"/>
      <c r="T447" s="34"/>
      <c r="U447" s="29"/>
      <c r="V447" s="29"/>
      <c r="W447" s="28"/>
      <c r="X447" s="28"/>
      <c r="Y447" s="35"/>
      <c r="Z447" s="28"/>
      <c r="AA447" s="36"/>
      <c r="AB447" s="36"/>
    </row>
    <row r="448">
      <c r="A448" s="28"/>
      <c r="B448" s="29"/>
      <c r="C448" s="29"/>
      <c r="D448" s="30"/>
      <c r="E448" s="31"/>
      <c r="F448" s="29"/>
      <c r="G448" s="29"/>
      <c r="H448" s="29"/>
      <c r="I448" s="29"/>
      <c r="J448" s="29"/>
      <c r="K448" s="29"/>
      <c r="L448" s="32"/>
      <c r="M448" s="29"/>
      <c r="N448" s="29"/>
      <c r="O448" s="33"/>
      <c r="P448" s="29"/>
      <c r="Q448" s="29"/>
      <c r="R448" s="32"/>
      <c r="S448" s="29"/>
      <c r="T448" s="34"/>
      <c r="U448" s="29"/>
      <c r="V448" s="29"/>
      <c r="W448" s="28"/>
      <c r="X448" s="28"/>
      <c r="Y448" s="35"/>
      <c r="Z448" s="28"/>
      <c r="AA448" s="36"/>
      <c r="AB448" s="36"/>
    </row>
    <row r="449">
      <c r="A449" s="28"/>
      <c r="B449" s="29"/>
      <c r="C449" s="29"/>
      <c r="D449" s="30"/>
      <c r="E449" s="31"/>
      <c r="F449" s="29"/>
      <c r="G449" s="29"/>
      <c r="H449" s="29"/>
      <c r="I449" s="29"/>
      <c r="J449" s="29"/>
      <c r="K449" s="29"/>
      <c r="L449" s="32"/>
      <c r="M449" s="29"/>
      <c r="N449" s="29"/>
      <c r="O449" s="33"/>
      <c r="P449" s="29"/>
      <c r="Q449" s="29"/>
      <c r="R449" s="32"/>
      <c r="S449" s="29"/>
      <c r="T449" s="34"/>
      <c r="U449" s="29"/>
      <c r="V449" s="29"/>
      <c r="W449" s="28"/>
      <c r="X449" s="28"/>
      <c r="Y449" s="35"/>
      <c r="Z449" s="28"/>
      <c r="AA449" s="36"/>
      <c r="AB449" s="36"/>
    </row>
    <row r="450">
      <c r="A450" s="28"/>
      <c r="B450" s="29"/>
      <c r="C450" s="29"/>
      <c r="D450" s="30"/>
      <c r="E450" s="31"/>
      <c r="F450" s="29"/>
      <c r="G450" s="29"/>
      <c r="H450" s="29"/>
      <c r="I450" s="29"/>
      <c r="J450" s="29"/>
      <c r="K450" s="29"/>
      <c r="L450" s="32"/>
      <c r="M450" s="29"/>
      <c r="N450" s="29"/>
      <c r="O450" s="33"/>
      <c r="P450" s="29"/>
      <c r="Q450" s="29"/>
      <c r="R450" s="32"/>
      <c r="S450" s="29"/>
      <c r="T450" s="34"/>
      <c r="U450" s="29"/>
      <c r="V450" s="29"/>
      <c r="W450" s="28"/>
      <c r="X450" s="28"/>
      <c r="Y450" s="35"/>
      <c r="Z450" s="28"/>
      <c r="AA450" s="36"/>
      <c r="AB450" s="36"/>
    </row>
    <row r="451">
      <c r="A451" s="28"/>
      <c r="B451" s="29"/>
      <c r="C451" s="29"/>
      <c r="D451" s="30"/>
      <c r="E451" s="31"/>
      <c r="F451" s="29"/>
      <c r="G451" s="29"/>
      <c r="H451" s="29"/>
      <c r="I451" s="29"/>
      <c r="J451" s="29"/>
      <c r="K451" s="29"/>
      <c r="L451" s="32"/>
      <c r="M451" s="29"/>
      <c r="N451" s="29"/>
      <c r="O451" s="33"/>
      <c r="P451" s="29"/>
      <c r="Q451" s="29"/>
      <c r="R451" s="32"/>
      <c r="S451" s="29"/>
      <c r="T451" s="34"/>
      <c r="U451" s="29"/>
      <c r="V451" s="29"/>
      <c r="W451" s="28"/>
      <c r="X451" s="28"/>
      <c r="Y451" s="35"/>
      <c r="Z451" s="28"/>
      <c r="AA451" s="36"/>
      <c r="AB451" s="36"/>
    </row>
    <row r="452">
      <c r="A452" s="28"/>
      <c r="B452" s="29"/>
      <c r="C452" s="29"/>
      <c r="D452" s="30"/>
      <c r="E452" s="31"/>
      <c r="F452" s="29"/>
      <c r="G452" s="29"/>
      <c r="H452" s="29"/>
      <c r="I452" s="29"/>
      <c r="J452" s="29"/>
      <c r="K452" s="29"/>
      <c r="L452" s="32"/>
      <c r="M452" s="29"/>
      <c r="N452" s="29"/>
      <c r="O452" s="33"/>
      <c r="P452" s="29"/>
      <c r="Q452" s="29"/>
      <c r="R452" s="32"/>
      <c r="S452" s="29"/>
      <c r="T452" s="34"/>
      <c r="U452" s="29"/>
      <c r="V452" s="29"/>
      <c r="W452" s="28"/>
      <c r="X452" s="28"/>
      <c r="Y452" s="35"/>
      <c r="Z452" s="28"/>
      <c r="AA452" s="36"/>
      <c r="AB452" s="36"/>
    </row>
    <row r="453">
      <c r="A453" s="28"/>
      <c r="B453" s="29"/>
      <c r="C453" s="29"/>
      <c r="D453" s="30"/>
      <c r="E453" s="31"/>
      <c r="F453" s="29"/>
      <c r="G453" s="29"/>
      <c r="H453" s="29"/>
      <c r="I453" s="29"/>
      <c r="J453" s="29"/>
      <c r="K453" s="29"/>
      <c r="L453" s="32"/>
      <c r="M453" s="29"/>
      <c r="N453" s="29"/>
      <c r="O453" s="33"/>
      <c r="P453" s="29"/>
      <c r="Q453" s="29"/>
      <c r="R453" s="32"/>
      <c r="S453" s="29"/>
      <c r="T453" s="34"/>
      <c r="U453" s="29"/>
      <c r="V453" s="29"/>
      <c r="W453" s="28"/>
      <c r="X453" s="28"/>
      <c r="Y453" s="35"/>
      <c r="Z453" s="28"/>
      <c r="AA453" s="36"/>
      <c r="AB453" s="36"/>
    </row>
    <row r="454">
      <c r="A454" s="28"/>
      <c r="B454" s="29"/>
      <c r="C454" s="29"/>
      <c r="D454" s="30"/>
      <c r="E454" s="31"/>
      <c r="F454" s="29"/>
      <c r="G454" s="29"/>
      <c r="H454" s="29"/>
      <c r="I454" s="29"/>
      <c r="J454" s="29"/>
      <c r="K454" s="29"/>
      <c r="L454" s="32"/>
      <c r="M454" s="29"/>
      <c r="N454" s="29"/>
      <c r="O454" s="33"/>
      <c r="P454" s="29"/>
      <c r="Q454" s="29"/>
      <c r="R454" s="32"/>
      <c r="S454" s="29"/>
      <c r="T454" s="34"/>
      <c r="U454" s="29"/>
      <c r="V454" s="29"/>
      <c r="W454" s="28"/>
      <c r="X454" s="28"/>
      <c r="Y454" s="35"/>
      <c r="Z454" s="28"/>
      <c r="AA454" s="36"/>
      <c r="AB454" s="36"/>
    </row>
    <row r="455">
      <c r="A455" s="28"/>
      <c r="B455" s="29"/>
      <c r="C455" s="29"/>
      <c r="D455" s="30"/>
      <c r="E455" s="31"/>
      <c r="F455" s="29"/>
      <c r="G455" s="29"/>
      <c r="H455" s="29"/>
      <c r="I455" s="29"/>
      <c r="J455" s="29"/>
      <c r="K455" s="29"/>
      <c r="L455" s="32"/>
      <c r="M455" s="29"/>
      <c r="N455" s="29"/>
      <c r="O455" s="33"/>
      <c r="P455" s="29"/>
      <c r="Q455" s="29"/>
      <c r="R455" s="32"/>
      <c r="S455" s="29"/>
      <c r="T455" s="34"/>
      <c r="U455" s="29"/>
      <c r="V455" s="29"/>
      <c r="W455" s="28"/>
      <c r="X455" s="28"/>
      <c r="Y455" s="35"/>
      <c r="Z455" s="28"/>
      <c r="AA455" s="36"/>
      <c r="AB455" s="36"/>
    </row>
    <row r="456">
      <c r="A456" s="28"/>
      <c r="B456" s="29"/>
      <c r="C456" s="29"/>
      <c r="D456" s="30"/>
      <c r="E456" s="31"/>
      <c r="F456" s="29"/>
      <c r="G456" s="29"/>
      <c r="H456" s="29"/>
      <c r="I456" s="29"/>
      <c r="J456" s="29"/>
      <c r="K456" s="29"/>
      <c r="L456" s="32"/>
      <c r="M456" s="29"/>
      <c r="N456" s="29"/>
      <c r="O456" s="33"/>
      <c r="P456" s="29"/>
      <c r="Q456" s="29"/>
      <c r="R456" s="32"/>
      <c r="S456" s="29"/>
      <c r="T456" s="34"/>
      <c r="U456" s="29"/>
      <c r="V456" s="29"/>
      <c r="W456" s="28"/>
      <c r="X456" s="28"/>
      <c r="Y456" s="35"/>
      <c r="Z456" s="28"/>
      <c r="AA456" s="36"/>
      <c r="AB456" s="36"/>
    </row>
    <row r="457">
      <c r="A457" s="28"/>
      <c r="B457" s="29"/>
      <c r="C457" s="29"/>
      <c r="D457" s="30"/>
      <c r="E457" s="31"/>
      <c r="F457" s="29"/>
      <c r="G457" s="29"/>
      <c r="H457" s="29"/>
      <c r="I457" s="29"/>
      <c r="J457" s="29"/>
      <c r="K457" s="29"/>
      <c r="L457" s="32"/>
      <c r="M457" s="29"/>
      <c r="N457" s="29"/>
      <c r="O457" s="33"/>
      <c r="P457" s="29"/>
      <c r="Q457" s="29"/>
      <c r="R457" s="32"/>
      <c r="S457" s="29"/>
      <c r="T457" s="34"/>
      <c r="U457" s="29"/>
      <c r="V457" s="29"/>
      <c r="W457" s="28"/>
      <c r="X457" s="28"/>
      <c r="Y457" s="35"/>
      <c r="Z457" s="28"/>
      <c r="AA457" s="36"/>
      <c r="AB457" s="36"/>
    </row>
    <row r="458">
      <c r="A458" s="28"/>
      <c r="B458" s="29"/>
      <c r="C458" s="29"/>
      <c r="D458" s="30"/>
      <c r="E458" s="31"/>
      <c r="F458" s="29"/>
      <c r="G458" s="29"/>
      <c r="H458" s="29"/>
      <c r="I458" s="29"/>
      <c r="J458" s="29"/>
      <c r="K458" s="29"/>
      <c r="L458" s="32"/>
      <c r="M458" s="29"/>
      <c r="N458" s="29"/>
      <c r="O458" s="33"/>
      <c r="P458" s="29"/>
      <c r="Q458" s="29"/>
      <c r="R458" s="32"/>
      <c r="S458" s="29"/>
      <c r="T458" s="34"/>
      <c r="U458" s="29"/>
      <c r="V458" s="29"/>
      <c r="W458" s="28"/>
      <c r="X458" s="28"/>
      <c r="Y458" s="35"/>
      <c r="Z458" s="28"/>
      <c r="AA458" s="36"/>
      <c r="AB458" s="36"/>
    </row>
    <row r="459">
      <c r="A459" s="28"/>
      <c r="B459" s="29"/>
      <c r="C459" s="29"/>
      <c r="D459" s="30"/>
      <c r="E459" s="31"/>
      <c r="F459" s="29"/>
      <c r="G459" s="29"/>
      <c r="H459" s="29"/>
      <c r="I459" s="29"/>
      <c r="J459" s="29"/>
      <c r="K459" s="29"/>
      <c r="L459" s="32"/>
      <c r="M459" s="29"/>
      <c r="N459" s="29"/>
      <c r="O459" s="33"/>
      <c r="P459" s="29"/>
      <c r="Q459" s="29"/>
      <c r="R459" s="32"/>
      <c r="S459" s="29"/>
      <c r="T459" s="34"/>
      <c r="U459" s="29"/>
      <c r="V459" s="29"/>
      <c r="W459" s="28"/>
      <c r="X459" s="28"/>
      <c r="Y459" s="35"/>
      <c r="Z459" s="28"/>
      <c r="AA459" s="36"/>
      <c r="AB459" s="36"/>
    </row>
    <row r="460">
      <c r="A460" s="28"/>
      <c r="B460" s="29"/>
      <c r="C460" s="29"/>
      <c r="D460" s="30"/>
      <c r="E460" s="31"/>
      <c r="F460" s="29"/>
      <c r="G460" s="29"/>
      <c r="H460" s="29"/>
      <c r="I460" s="29"/>
      <c r="J460" s="29"/>
      <c r="K460" s="29"/>
      <c r="L460" s="32"/>
      <c r="M460" s="29"/>
      <c r="N460" s="29"/>
      <c r="O460" s="33"/>
      <c r="P460" s="29"/>
      <c r="Q460" s="29"/>
      <c r="R460" s="32"/>
      <c r="S460" s="29"/>
      <c r="T460" s="34"/>
      <c r="U460" s="29"/>
      <c r="V460" s="29"/>
      <c r="W460" s="28"/>
      <c r="X460" s="28"/>
      <c r="Y460" s="35"/>
      <c r="Z460" s="28"/>
      <c r="AA460" s="36"/>
      <c r="AB460" s="36"/>
    </row>
    <row r="461">
      <c r="A461" s="28"/>
      <c r="B461" s="29"/>
      <c r="C461" s="29"/>
      <c r="D461" s="30"/>
      <c r="E461" s="31"/>
      <c r="F461" s="29"/>
      <c r="G461" s="29"/>
      <c r="H461" s="29"/>
      <c r="I461" s="29"/>
      <c r="J461" s="29"/>
      <c r="K461" s="29"/>
      <c r="L461" s="32"/>
      <c r="M461" s="29"/>
      <c r="N461" s="29"/>
      <c r="O461" s="33"/>
      <c r="P461" s="29"/>
      <c r="Q461" s="29"/>
      <c r="R461" s="32"/>
      <c r="S461" s="29"/>
      <c r="T461" s="34"/>
      <c r="U461" s="29"/>
      <c r="V461" s="29"/>
      <c r="W461" s="28"/>
      <c r="X461" s="28"/>
      <c r="Y461" s="35"/>
      <c r="Z461" s="28"/>
      <c r="AA461" s="36"/>
      <c r="AB461" s="36"/>
    </row>
    <row r="462">
      <c r="A462" s="28"/>
      <c r="B462" s="29"/>
      <c r="C462" s="29"/>
      <c r="D462" s="30"/>
      <c r="E462" s="31"/>
      <c r="F462" s="29"/>
      <c r="G462" s="29"/>
      <c r="H462" s="29"/>
      <c r="I462" s="29"/>
      <c r="J462" s="29"/>
      <c r="K462" s="29"/>
      <c r="L462" s="32"/>
      <c r="M462" s="29"/>
      <c r="N462" s="29"/>
      <c r="O462" s="33"/>
      <c r="P462" s="29"/>
      <c r="Q462" s="29"/>
      <c r="R462" s="32"/>
      <c r="S462" s="29"/>
      <c r="T462" s="34"/>
      <c r="U462" s="29"/>
      <c r="V462" s="29"/>
      <c r="W462" s="28"/>
      <c r="X462" s="28"/>
      <c r="Y462" s="35"/>
      <c r="Z462" s="28"/>
      <c r="AA462" s="36"/>
      <c r="AB462" s="36"/>
    </row>
    <row r="463">
      <c r="A463" s="28"/>
      <c r="B463" s="29"/>
      <c r="C463" s="29"/>
      <c r="D463" s="30"/>
      <c r="E463" s="31"/>
      <c r="F463" s="29"/>
      <c r="G463" s="29"/>
      <c r="H463" s="29"/>
      <c r="I463" s="29"/>
      <c r="J463" s="29"/>
      <c r="K463" s="29"/>
      <c r="L463" s="32"/>
      <c r="M463" s="29"/>
      <c r="N463" s="29"/>
      <c r="O463" s="33"/>
      <c r="P463" s="29"/>
      <c r="Q463" s="29"/>
      <c r="R463" s="32"/>
      <c r="S463" s="29"/>
      <c r="T463" s="34"/>
      <c r="U463" s="29"/>
      <c r="V463" s="29"/>
      <c r="W463" s="28"/>
      <c r="X463" s="28"/>
      <c r="Y463" s="35"/>
      <c r="Z463" s="28"/>
      <c r="AA463" s="36"/>
      <c r="AB463" s="36"/>
    </row>
    <row r="464">
      <c r="A464" s="28"/>
      <c r="B464" s="29"/>
      <c r="C464" s="29"/>
      <c r="D464" s="30"/>
      <c r="E464" s="31"/>
      <c r="F464" s="29"/>
      <c r="G464" s="29"/>
      <c r="H464" s="29"/>
      <c r="I464" s="29"/>
      <c r="J464" s="29"/>
      <c r="K464" s="29"/>
      <c r="L464" s="32"/>
      <c r="M464" s="29"/>
      <c r="N464" s="29"/>
      <c r="O464" s="33"/>
      <c r="P464" s="29"/>
      <c r="Q464" s="29"/>
      <c r="R464" s="32"/>
      <c r="S464" s="29"/>
      <c r="T464" s="34"/>
      <c r="U464" s="29"/>
      <c r="V464" s="29"/>
      <c r="W464" s="28"/>
      <c r="X464" s="28"/>
      <c r="Y464" s="35"/>
      <c r="Z464" s="28"/>
      <c r="AA464" s="36"/>
      <c r="AB464" s="36"/>
    </row>
    <row r="465">
      <c r="A465" s="28"/>
      <c r="B465" s="29"/>
      <c r="C465" s="29"/>
      <c r="D465" s="30"/>
      <c r="E465" s="31"/>
      <c r="F465" s="29"/>
      <c r="G465" s="29"/>
      <c r="H465" s="29"/>
      <c r="I465" s="29"/>
      <c r="J465" s="29"/>
      <c r="K465" s="29"/>
      <c r="L465" s="32"/>
      <c r="M465" s="29"/>
      <c r="N465" s="29"/>
      <c r="O465" s="33"/>
      <c r="P465" s="29"/>
      <c r="Q465" s="29"/>
      <c r="R465" s="32"/>
      <c r="S465" s="29"/>
      <c r="T465" s="34"/>
      <c r="U465" s="29"/>
      <c r="V465" s="29"/>
      <c r="W465" s="28"/>
      <c r="X465" s="28"/>
      <c r="Y465" s="35"/>
      <c r="Z465" s="28"/>
      <c r="AA465" s="36"/>
      <c r="AB465" s="36"/>
    </row>
    <row r="466">
      <c r="A466" s="28"/>
      <c r="B466" s="29"/>
      <c r="C466" s="29"/>
      <c r="D466" s="30"/>
      <c r="E466" s="31"/>
      <c r="F466" s="29"/>
      <c r="G466" s="29"/>
      <c r="H466" s="29"/>
      <c r="I466" s="29"/>
      <c r="J466" s="29"/>
      <c r="K466" s="29"/>
      <c r="L466" s="32"/>
      <c r="M466" s="29"/>
      <c r="N466" s="29"/>
      <c r="O466" s="33"/>
      <c r="P466" s="29"/>
      <c r="Q466" s="29"/>
      <c r="R466" s="32"/>
      <c r="S466" s="29"/>
      <c r="T466" s="34"/>
      <c r="U466" s="29"/>
      <c r="V466" s="29"/>
      <c r="W466" s="28"/>
      <c r="X466" s="28"/>
      <c r="Y466" s="35"/>
      <c r="Z466" s="28"/>
      <c r="AA466" s="36"/>
      <c r="AB466" s="36"/>
    </row>
    <row r="467">
      <c r="A467" s="28"/>
      <c r="B467" s="29"/>
      <c r="C467" s="29"/>
      <c r="D467" s="30"/>
      <c r="E467" s="31"/>
      <c r="F467" s="29"/>
      <c r="G467" s="29"/>
      <c r="H467" s="29"/>
      <c r="I467" s="29"/>
      <c r="J467" s="29"/>
      <c r="K467" s="29"/>
      <c r="L467" s="32"/>
      <c r="M467" s="29"/>
      <c r="N467" s="29"/>
      <c r="O467" s="33"/>
      <c r="P467" s="29"/>
      <c r="Q467" s="29"/>
      <c r="R467" s="32"/>
      <c r="S467" s="29"/>
      <c r="T467" s="34"/>
      <c r="U467" s="29"/>
      <c r="V467" s="29"/>
      <c r="W467" s="28"/>
      <c r="X467" s="28"/>
      <c r="Y467" s="35"/>
      <c r="Z467" s="28"/>
      <c r="AA467" s="36"/>
      <c r="AB467" s="36"/>
    </row>
    <row r="468">
      <c r="A468" s="28"/>
      <c r="B468" s="29"/>
      <c r="C468" s="29"/>
      <c r="D468" s="30"/>
      <c r="E468" s="31"/>
      <c r="F468" s="29"/>
      <c r="G468" s="29"/>
      <c r="H468" s="29"/>
      <c r="I468" s="29"/>
      <c r="J468" s="29"/>
      <c r="K468" s="29"/>
      <c r="L468" s="32"/>
      <c r="M468" s="29"/>
      <c r="N468" s="29"/>
      <c r="O468" s="33"/>
      <c r="P468" s="29"/>
      <c r="Q468" s="29"/>
      <c r="R468" s="32"/>
      <c r="S468" s="29"/>
      <c r="T468" s="34"/>
      <c r="U468" s="29"/>
      <c r="V468" s="29"/>
      <c r="W468" s="28"/>
      <c r="X468" s="28"/>
      <c r="Y468" s="35"/>
      <c r="Z468" s="28"/>
      <c r="AA468" s="36"/>
      <c r="AB468" s="36"/>
    </row>
    <row r="469">
      <c r="A469" s="28"/>
      <c r="B469" s="29"/>
      <c r="C469" s="29"/>
      <c r="D469" s="30"/>
      <c r="E469" s="31"/>
      <c r="F469" s="29"/>
      <c r="G469" s="29"/>
      <c r="H469" s="29"/>
      <c r="I469" s="29"/>
      <c r="J469" s="29"/>
      <c r="K469" s="29"/>
      <c r="L469" s="32"/>
      <c r="M469" s="29"/>
      <c r="N469" s="29"/>
      <c r="O469" s="33"/>
      <c r="P469" s="29"/>
      <c r="Q469" s="29"/>
      <c r="R469" s="32"/>
      <c r="S469" s="29"/>
      <c r="T469" s="34"/>
      <c r="U469" s="29"/>
      <c r="V469" s="29"/>
      <c r="W469" s="28"/>
      <c r="X469" s="28"/>
      <c r="Y469" s="35"/>
      <c r="Z469" s="28"/>
      <c r="AA469" s="36"/>
      <c r="AB469" s="36"/>
    </row>
    <row r="470">
      <c r="A470" s="28"/>
      <c r="B470" s="29"/>
      <c r="C470" s="29"/>
      <c r="D470" s="30"/>
      <c r="E470" s="31"/>
      <c r="F470" s="29"/>
      <c r="G470" s="29"/>
      <c r="H470" s="29"/>
      <c r="I470" s="29"/>
      <c r="J470" s="29"/>
      <c r="K470" s="29"/>
      <c r="L470" s="32"/>
      <c r="M470" s="29"/>
      <c r="N470" s="29"/>
      <c r="O470" s="33"/>
      <c r="P470" s="29"/>
      <c r="Q470" s="29"/>
      <c r="R470" s="32"/>
      <c r="S470" s="29"/>
      <c r="T470" s="34"/>
      <c r="U470" s="29"/>
      <c r="V470" s="29"/>
      <c r="W470" s="28"/>
      <c r="X470" s="28"/>
      <c r="Y470" s="35"/>
      <c r="Z470" s="28"/>
      <c r="AA470" s="36"/>
      <c r="AB470" s="36"/>
    </row>
    <row r="471">
      <c r="A471" s="28"/>
      <c r="B471" s="29"/>
      <c r="C471" s="29"/>
      <c r="D471" s="30"/>
      <c r="E471" s="31"/>
      <c r="F471" s="29"/>
      <c r="G471" s="29"/>
      <c r="H471" s="29"/>
      <c r="I471" s="29"/>
      <c r="J471" s="29"/>
      <c r="K471" s="29"/>
      <c r="L471" s="32"/>
      <c r="M471" s="29"/>
      <c r="N471" s="29"/>
      <c r="O471" s="33"/>
      <c r="P471" s="29"/>
      <c r="Q471" s="29"/>
      <c r="R471" s="32"/>
      <c r="S471" s="29"/>
      <c r="T471" s="34"/>
      <c r="U471" s="29"/>
      <c r="V471" s="29"/>
      <c r="W471" s="28"/>
      <c r="X471" s="28"/>
      <c r="Y471" s="35"/>
      <c r="Z471" s="28"/>
      <c r="AA471" s="36"/>
      <c r="AB471" s="36"/>
    </row>
    <row r="472">
      <c r="A472" s="28"/>
      <c r="B472" s="29"/>
      <c r="C472" s="29"/>
      <c r="D472" s="30"/>
      <c r="E472" s="31"/>
      <c r="F472" s="29"/>
      <c r="G472" s="29"/>
      <c r="H472" s="29"/>
      <c r="I472" s="29"/>
      <c r="J472" s="29"/>
      <c r="K472" s="29"/>
      <c r="L472" s="32"/>
      <c r="M472" s="29"/>
      <c r="N472" s="29"/>
      <c r="O472" s="33"/>
      <c r="P472" s="29"/>
      <c r="Q472" s="29"/>
      <c r="R472" s="32"/>
      <c r="S472" s="29"/>
      <c r="T472" s="34"/>
      <c r="U472" s="29"/>
      <c r="V472" s="29"/>
      <c r="W472" s="28"/>
      <c r="X472" s="28"/>
      <c r="Y472" s="35"/>
      <c r="Z472" s="28"/>
      <c r="AA472" s="36"/>
      <c r="AB472" s="36"/>
    </row>
    <row r="473">
      <c r="A473" s="28"/>
      <c r="B473" s="29"/>
      <c r="C473" s="29"/>
      <c r="D473" s="30"/>
      <c r="E473" s="31"/>
      <c r="F473" s="29"/>
      <c r="G473" s="29"/>
      <c r="H473" s="29"/>
      <c r="I473" s="29"/>
      <c r="J473" s="29"/>
      <c r="K473" s="29"/>
      <c r="L473" s="32"/>
      <c r="M473" s="29"/>
      <c r="N473" s="29"/>
      <c r="O473" s="33"/>
      <c r="P473" s="29"/>
      <c r="Q473" s="29"/>
      <c r="R473" s="32"/>
      <c r="S473" s="29"/>
      <c r="T473" s="34"/>
      <c r="U473" s="29"/>
      <c r="V473" s="29"/>
      <c r="W473" s="28"/>
      <c r="X473" s="28"/>
      <c r="Y473" s="35"/>
      <c r="Z473" s="28"/>
      <c r="AA473" s="36"/>
      <c r="AB473" s="36"/>
    </row>
    <row r="474">
      <c r="A474" s="28"/>
      <c r="B474" s="29"/>
      <c r="C474" s="29"/>
      <c r="D474" s="30"/>
      <c r="E474" s="31"/>
      <c r="F474" s="29"/>
      <c r="G474" s="29"/>
      <c r="H474" s="29"/>
      <c r="I474" s="29"/>
      <c r="J474" s="29"/>
      <c r="K474" s="29"/>
      <c r="L474" s="32"/>
      <c r="M474" s="29"/>
      <c r="N474" s="29"/>
      <c r="O474" s="33"/>
      <c r="P474" s="29"/>
      <c r="Q474" s="29"/>
      <c r="R474" s="32"/>
      <c r="S474" s="29"/>
      <c r="T474" s="34"/>
      <c r="U474" s="29"/>
      <c r="V474" s="29"/>
      <c r="W474" s="28"/>
      <c r="X474" s="28"/>
      <c r="Y474" s="35"/>
      <c r="Z474" s="28"/>
      <c r="AA474" s="36"/>
      <c r="AB474" s="36"/>
    </row>
    <row r="475">
      <c r="A475" s="28"/>
      <c r="B475" s="29"/>
      <c r="C475" s="29"/>
      <c r="D475" s="30"/>
      <c r="E475" s="31"/>
      <c r="F475" s="29"/>
      <c r="G475" s="29"/>
      <c r="H475" s="29"/>
      <c r="I475" s="29"/>
      <c r="J475" s="29"/>
      <c r="K475" s="29"/>
      <c r="L475" s="32"/>
      <c r="M475" s="29"/>
      <c r="N475" s="29"/>
      <c r="O475" s="33"/>
      <c r="P475" s="29"/>
      <c r="Q475" s="29"/>
      <c r="R475" s="32"/>
      <c r="S475" s="29"/>
      <c r="T475" s="34"/>
      <c r="U475" s="29"/>
      <c r="V475" s="29"/>
      <c r="W475" s="28"/>
      <c r="X475" s="28"/>
      <c r="Y475" s="35"/>
      <c r="Z475" s="28"/>
      <c r="AA475" s="36"/>
      <c r="AB475" s="36"/>
    </row>
    <row r="476">
      <c r="A476" s="28"/>
      <c r="B476" s="29"/>
      <c r="C476" s="29"/>
      <c r="D476" s="30"/>
      <c r="E476" s="31"/>
      <c r="F476" s="29"/>
      <c r="G476" s="29"/>
      <c r="H476" s="29"/>
      <c r="I476" s="29"/>
      <c r="J476" s="29"/>
      <c r="K476" s="29"/>
      <c r="L476" s="32"/>
      <c r="M476" s="29"/>
      <c r="N476" s="29"/>
      <c r="O476" s="33"/>
      <c r="P476" s="29"/>
      <c r="Q476" s="29"/>
      <c r="R476" s="32"/>
      <c r="S476" s="29"/>
      <c r="T476" s="34"/>
      <c r="U476" s="29"/>
      <c r="V476" s="29"/>
      <c r="W476" s="28"/>
      <c r="X476" s="28"/>
      <c r="Y476" s="35"/>
      <c r="Z476" s="28"/>
      <c r="AA476" s="36"/>
      <c r="AB476" s="36"/>
    </row>
    <row r="477">
      <c r="A477" s="28"/>
      <c r="B477" s="29"/>
      <c r="C477" s="29"/>
      <c r="D477" s="30"/>
      <c r="E477" s="31"/>
      <c r="F477" s="29"/>
      <c r="G477" s="29"/>
      <c r="H477" s="29"/>
      <c r="I477" s="29"/>
      <c r="J477" s="29"/>
      <c r="K477" s="29"/>
      <c r="L477" s="32"/>
      <c r="M477" s="29"/>
      <c r="N477" s="29"/>
      <c r="O477" s="33"/>
      <c r="P477" s="29"/>
      <c r="Q477" s="29"/>
      <c r="R477" s="32"/>
      <c r="S477" s="29"/>
      <c r="T477" s="34"/>
      <c r="U477" s="29"/>
      <c r="V477" s="29"/>
      <c r="W477" s="28"/>
      <c r="X477" s="28"/>
      <c r="Y477" s="35"/>
      <c r="Z477" s="28"/>
      <c r="AA477" s="36"/>
      <c r="AB477" s="36"/>
    </row>
    <row r="478">
      <c r="A478" s="28"/>
      <c r="B478" s="29"/>
      <c r="C478" s="29"/>
      <c r="D478" s="30"/>
      <c r="E478" s="31"/>
      <c r="F478" s="29"/>
      <c r="G478" s="29"/>
      <c r="H478" s="29"/>
      <c r="I478" s="29"/>
      <c r="J478" s="29"/>
      <c r="K478" s="29"/>
      <c r="L478" s="32"/>
      <c r="M478" s="29"/>
      <c r="N478" s="29"/>
      <c r="O478" s="33"/>
      <c r="P478" s="29"/>
      <c r="Q478" s="29"/>
      <c r="R478" s="32"/>
      <c r="S478" s="29"/>
      <c r="T478" s="34"/>
      <c r="U478" s="29"/>
      <c r="V478" s="29"/>
      <c r="W478" s="28"/>
      <c r="X478" s="28"/>
      <c r="Y478" s="35"/>
      <c r="Z478" s="28"/>
      <c r="AA478" s="36"/>
      <c r="AB478" s="36"/>
    </row>
    <row r="479">
      <c r="A479" s="28"/>
      <c r="B479" s="29"/>
      <c r="C479" s="29"/>
      <c r="D479" s="30"/>
      <c r="E479" s="31"/>
      <c r="F479" s="29"/>
      <c r="G479" s="29"/>
      <c r="H479" s="29"/>
      <c r="I479" s="29"/>
      <c r="J479" s="29"/>
      <c r="K479" s="29"/>
      <c r="L479" s="32"/>
      <c r="M479" s="29"/>
      <c r="N479" s="29"/>
      <c r="O479" s="33"/>
      <c r="P479" s="29"/>
      <c r="Q479" s="29"/>
      <c r="R479" s="32"/>
      <c r="S479" s="29"/>
      <c r="T479" s="34"/>
      <c r="U479" s="29"/>
      <c r="V479" s="29"/>
      <c r="W479" s="28"/>
      <c r="X479" s="28"/>
      <c r="Y479" s="35"/>
      <c r="Z479" s="28"/>
      <c r="AA479" s="36"/>
      <c r="AB479" s="36"/>
    </row>
    <row r="480">
      <c r="A480" s="28"/>
      <c r="B480" s="29"/>
      <c r="C480" s="29"/>
      <c r="D480" s="30"/>
      <c r="E480" s="31"/>
      <c r="F480" s="29"/>
      <c r="G480" s="29"/>
      <c r="H480" s="29"/>
      <c r="I480" s="29"/>
      <c r="J480" s="29"/>
      <c r="K480" s="29"/>
      <c r="L480" s="32"/>
      <c r="M480" s="29"/>
      <c r="N480" s="29"/>
      <c r="O480" s="33"/>
      <c r="P480" s="29"/>
      <c r="Q480" s="29"/>
      <c r="R480" s="32"/>
      <c r="S480" s="29"/>
      <c r="T480" s="34"/>
      <c r="U480" s="29"/>
      <c r="V480" s="29"/>
      <c r="W480" s="28"/>
      <c r="X480" s="28"/>
      <c r="Y480" s="35"/>
      <c r="Z480" s="28"/>
      <c r="AA480" s="36"/>
      <c r="AB480" s="36"/>
    </row>
    <row r="481">
      <c r="A481" s="28"/>
      <c r="B481" s="29"/>
      <c r="C481" s="29"/>
      <c r="D481" s="30"/>
      <c r="E481" s="31"/>
      <c r="F481" s="29"/>
      <c r="G481" s="29"/>
      <c r="H481" s="29"/>
      <c r="I481" s="29"/>
      <c r="J481" s="29"/>
      <c r="K481" s="29"/>
      <c r="L481" s="32"/>
      <c r="M481" s="29"/>
      <c r="N481" s="29"/>
      <c r="O481" s="33"/>
      <c r="P481" s="29"/>
      <c r="Q481" s="29"/>
      <c r="R481" s="32"/>
      <c r="S481" s="29"/>
      <c r="T481" s="34"/>
      <c r="U481" s="29"/>
      <c r="V481" s="29"/>
      <c r="W481" s="28"/>
      <c r="X481" s="28"/>
      <c r="Y481" s="35"/>
      <c r="Z481" s="28"/>
      <c r="AA481" s="36"/>
      <c r="AB481" s="36"/>
    </row>
    <row r="482">
      <c r="A482" s="28"/>
      <c r="B482" s="29"/>
      <c r="C482" s="29"/>
      <c r="D482" s="30"/>
      <c r="E482" s="31"/>
      <c r="F482" s="29"/>
      <c r="G482" s="29"/>
      <c r="H482" s="29"/>
      <c r="I482" s="29"/>
      <c r="J482" s="29"/>
      <c r="K482" s="29"/>
      <c r="L482" s="32"/>
      <c r="M482" s="29"/>
      <c r="N482" s="29"/>
      <c r="O482" s="33"/>
      <c r="P482" s="29"/>
      <c r="Q482" s="29"/>
      <c r="R482" s="32"/>
      <c r="S482" s="29"/>
      <c r="T482" s="34"/>
      <c r="U482" s="29"/>
      <c r="V482" s="29"/>
      <c r="W482" s="28"/>
      <c r="X482" s="28"/>
      <c r="Y482" s="35"/>
      <c r="Z482" s="28"/>
      <c r="AA482" s="36"/>
      <c r="AB482" s="36"/>
    </row>
    <row r="483">
      <c r="A483" s="28"/>
      <c r="B483" s="29"/>
      <c r="C483" s="29"/>
      <c r="D483" s="30"/>
      <c r="E483" s="31"/>
      <c r="F483" s="29"/>
      <c r="G483" s="29"/>
      <c r="H483" s="29"/>
      <c r="I483" s="29"/>
      <c r="J483" s="29"/>
      <c r="K483" s="29"/>
      <c r="L483" s="32"/>
      <c r="M483" s="29"/>
      <c r="N483" s="29"/>
      <c r="O483" s="33"/>
      <c r="P483" s="29"/>
      <c r="Q483" s="29"/>
      <c r="R483" s="32"/>
      <c r="S483" s="29"/>
      <c r="T483" s="34"/>
      <c r="U483" s="29"/>
      <c r="V483" s="29"/>
      <c r="W483" s="28"/>
      <c r="X483" s="28"/>
      <c r="Y483" s="35"/>
      <c r="Z483" s="28"/>
      <c r="AA483" s="36"/>
      <c r="AB483" s="36"/>
    </row>
    <row r="484">
      <c r="A484" s="28"/>
      <c r="B484" s="29"/>
      <c r="C484" s="29"/>
      <c r="D484" s="30"/>
      <c r="E484" s="31"/>
      <c r="F484" s="29"/>
      <c r="G484" s="29"/>
      <c r="H484" s="29"/>
      <c r="I484" s="29"/>
      <c r="J484" s="29"/>
      <c r="K484" s="29"/>
      <c r="L484" s="32"/>
      <c r="M484" s="29"/>
      <c r="N484" s="29"/>
      <c r="O484" s="33"/>
      <c r="P484" s="29"/>
      <c r="Q484" s="29"/>
      <c r="R484" s="32"/>
      <c r="S484" s="29"/>
      <c r="T484" s="34"/>
      <c r="U484" s="29"/>
      <c r="V484" s="29"/>
      <c r="W484" s="28"/>
      <c r="X484" s="28"/>
      <c r="Y484" s="35"/>
      <c r="Z484" s="28"/>
      <c r="AA484" s="36"/>
      <c r="AB484" s="36"/>
    </row>
    <row r="485">
      <c r="A485" s="28"/>
      <c r="B485" s="29"/>
      <c r="C485" s="29"/>
      <c r="D485" s="30"/>
      <c r="E485" s="31"/>
      <c r="F485" s="29"/>
      <c r="G485" s="29"/>
      <c r="H485" s="29"/>
      <c r="I485" s="29"/>
      <c r="J485" s="29"/>
      <c r="K485" s="29"/>
      <c r="L485" s="32"/>
      <c r="M485" s="29"/>
      <c r="N485" s="29"/>
      <c r="O485" s="33"/>
      <c r="P485" s="29"/>
      <c r="Q485" s="29"/>
      <c r="R485" s="32"/>
      <c r="S485" s="29"/>
      <c r="T485" s="34"/>
      <c r="U485" s="29"/>
      <c r="V485" s="29"/>
      <c r="W485" s="28"/>
      <c r="X485" s="28"/>
      <c r="Y485" s="35"/>
      <c r="Z485" s="28"/>
      <c r="AA485" s="36"/>
      <c r="AB485" s="36"/>
    </row>
    <row r="486">
      <c r="A486" s="28"/>
      <c r="B486" s="29"/>
      <c r="C486" s="29"/>
      <c r="D486" s="30"/>
      <c r="E486" s="31"/>
      <c r="F486" s="29"/>
      <c r="G486" s="29"/>
      <c r="H486" s="29"/>
      <c r="I486" s="29"/>
      <c r="J486" s="29"/>
      <c r="K486" s="29"/>
      <c r="L486" s="32"/>
      <c r="M486" s="29"/>
      <c r="N486" s="29"/>
      <c r="O486" s="33"/>
      <c r="P486" s="29"/>
      <c r="Q486" s="29"/>
      <c r="R486" s="32"/>
      <c r="S486" s="29"/>
      <c r="T486" s="34"/>
      <c r="U486" s="29"/>
      <c r="V486" s="29"/>
      <c r="W486" s="28"/>
      <c r="X486" s="28"/>
      <c r="Y486" s="35"/>
      <c r="Z486" s="28"/>
      <c r="AA486" s="36"/>
      <c r="AB486" s="36"/>
    </row>
    <row r="487">
      <c r="A487" s="28"/>
      <c r="B487" s="29"/>
      <c r="C487" s="29"/>
      <c r="D487" s="30"/>
      <c r="E487" s="31"/>
      <c r="F487" s="29"/>
      <c r="G487" s="29"/>
      <c r="H487" s="29"/>
      <c r="I487" s="29"/>
      <c r="J487" s="29"/>
      <c r="K487" s="29"/>
      <c r="L487" s="32"/>
      <c r="M487" s="29"/>
      <c r="N487" s="29"/>
      <c r="O487" s="33"/>
      <c r="P487" s="29"/>
      <c r="Q487" s="29"/>
      <c r="R487" s="32"/>
      <c r="S487" s="29"/>
      <c r="T487" s="34"/>
      <c r="U487" s="29"/>
      <c r="V487" s="29"/>
      <c r="W487" s="28"/>
      <c r="X487" s="28"/>
      <c r="Y487" s="35"/>
      <c r="Z487" s="28"/>
      <c r="AA487" s="36"/>
      <c r="AB487" s="36"/>
    </row>
    <row r="488">
      <c r="A488" s="28"/>
      <c r="B488" s="29"/>
      <c r="C488" s="29"/>
      <c r="D488" s="30"/>
      <c r="E488" s="31"/>
      <c r="F488" s="29"/>
      <c r="G488" s="29"/>
      <c r="H488" s="29"/>
      <c r="I488" s="29"/>
      <c r="J488" s="29"/>
      <c r="K488" s="29"/>
      <c r="L488" s="32"/>
      <c r="M488" s="29"/>
      <c r="N488" s="29"/>
      <c r="O488" s="33"/>
      <c r="P488" s="29"/>
      <c r="Q488" s="29"/>
      <c r="R488" s="32"/>
      <c r="S488" s="29"/>
      <c r="T488" s="34"/>
      <c r="U488" s="29"/>
      <c r="V488" s="29"/>
      <c r="W488" s="28"/>
      <c r="X488" s="28"/>
      <c r="Y488" s="35"/>
      <c r="Z488" s="28"/>
      <c r="AA488" s="36"/>
      <c r="AB488" s="36"/>
    </row>
    <row r="489">
      <c r="A489" s="28"/>
      <c r="B489" s="29"/>
      <c r="C489" s="29"/>
      <c r="D489" s="30"/>
      <c r="E489" s="31"/>
      <c r="F489" s="29"/>
      <c r="G489" s="29"/>
      <c r="H489" s="29"/>
      <c r="I489" s="29"/>
      <c r="J489" s="29"/>
      <c r="K489" s="29"/>
      <c r="L489" s="32"/>
      <c r="M489" s="29"/>
      <c r="N489" s="29"/>
      <c r="O489" s="33"/>
      <c r="P489" s="29"/>
      <c r="Q489" s="29"/>
      <c r="R489" s="32"/>
      <c r="S489" s="29"/>
      <c r="T489" s="34"/>
      <c r="U489" s="29"/>
      <c r="V489" s="29"/>
      <c r="W489" s="28"/>
      <c r="X489" s="28"/>
      <c r="Y489" s="35"/>
      <c r="Z489" s="28"/>
      <c r="AA489" s="36"/>
      <c r="AB489" s="36"/>
    </row>
    <row r="490">
      <c r="A490" s="28"/>
      <c r="B490" s="29"/>
      <c r="C490" s="29"/>
      <c r="D490" s="30"/>
      <c r="E490" s="31"/>
      <c r="F490" s="29"/>
      <c r="G490" s="29"/>
      <c r="H490" s="29"/>
      <c r="I490" s="29"/>
      <c r="J490" s="29"/>
      <c r="K490" s="29"/>
      <c r="L490" s="32"/>
      <c r="M490" s="29"/>
      <c r="N490" s="29"/>
      <c r="O490" s="33"/>
      <c r="P490" s="29"/>
      <c r="Q490" s="29"/>
      <c r="R490" s="32"/>
      <c r="S490" s="29"/>
      <c r="T490" s="34"/>
      <c r="U490" s="29"/>
      <c r="V490" s="29"/>
      <c r="W490" s="28"/>
      <c r="X490" s="28"/>
      <c r="Y490" s="35"/>
      <c r="Z490" s="28"/>
      <c r="AA490" s="36"/>
      <c r="AB490" s="36"/>
    </row>
    <row r="491">
      <c r="A491" s="28"/>
      <c r="B491" s="29"/>
      <c r="C491" s="29"/>
      <c r="D491" s="30"/>
      <c r="E491" s="31"/>
      <c r="F491" s="29"/>
      <c r="G491" s="29"/>
      <c r="H491" s="29"/>
      <c r="I491" s="29"/>
      <c r="J491" s="29"/>
      <c r="K491" s="29"/>
      <c r="L491" s="32"/>
      <c r="M491" s="29"/>
      <c r="N491" s="29"/>
      <c r="O491" s="33"/>
      <c r="P491" s="29"/>
      <c r="Q491" s="29"/>
      <c r="R491" s="32"/>
      <c r="S491" s="29"/>
      <c r="T491" s="34"/>
      <c r="U491" s="29"/>
      <c r="V491" s="29"/>
      <c r="W491" s="28"/>
      <c r="X491" s="28"/>
      <c r="Y491" s="35"/>
      <c r="Z491" s="28"/>
      <c r="AA491" s="36"/>
      <c r="AB491" s="36"/>
    </row>
    <row r="492">
      <c r="A492" s="28"/>
      <c r="B492" s="29"/>
      <c r="C492" s="29"/>
      <c r="D492" s="30"/>
      <c r="E492" s="31"/>
      <c r="F492" s="29"/>
      <c r="G492" s="29"/>
      <c r="H492" s="29"/>
      <c r="I492" s="29"/>
      <c r="J492" s="29"/>
      <c r="K492" s="29"/>
      <c r="L492" s="32"/>
      <c r="M492" s="29"/>
      <c r="N492" s="29"/>
      <c r="O492" s="33"/>
      <c r="P492" s="29"/>
      <c r="Q492" s="29"/>
      <c r="R492" s="32"/>
      <c r="S492" s="29"/>
      <c r="T492" s="34"/>
      <c r="U492" s="29"/>
      <c r="V492" s="29"/>
      <c r="W492" s="28"/>
      <c r="X492" s="28"/>
      <c r="Y492" s="35"/>
      <c r="Z492" s="28"/>
      <c r="AA492" s="36"/>
      <c r="AB492" s="36"/>
    </row>
    <row r="493">
      <c r="A493" s="28"/>
      <c r="B493" s="29"/>
      <c r="C493" s="29"/>
      <c r="D493" s="30"/>
      <c r="E493" s="31"/>
      <c r="F493" s="29"/>
      <c r="G493" s="29"/>
      <c r="H493" s="29"/>
      <c r="I493" s="29"/>
      <c r="J493" s="29"/>
      <c r="K493" s="29"/>
      <c r="L493" s="32"/>
      <c r="M493" s="29"/>
      <c r="N493" s="29"/>
      <c r="O493" s="33"/>
      <c r="P493" s="29"/>
      <c r="Q493" s="29"/>
      <c r="R493" s="32"/>
      <c r="S493" s="29"/>
      <c r="T493" s="34"/>
      <c r="U493" s="29"/>
      <c r="V493" s="29"/>
      <c r="W493" s="28"/>
      <c r="X493" s="28"/>
      <c r="Y493" s="35"/>
      <c r="Z493" s="28"/>
      <c r="AA493" s="36"/>
      <c r="AB493" s="36"/>
    </row>
    <row r="494">
      <c r="A494" s="28"/>
      <c r="B494" s="29"/>
      <c r="C494" s="29"/>
      <c r="D494" s="30"/>
      <c r="E494" s="31"/>
      <c r="F494" s="29"/>
      <c r="G494" s="29"/>
      <c r="H494" s="29"/>
      <c r="I494" s="29"/>
      <c r="J494" s="29"/>
      <c r="K494" s="29"/>
      <c r="L494" s="32"/>
      <c r="M494" s="29"/>
      <c r="N494" s="29"/>
      <c r="O494" s="33"/>
      <c r="P494" s="29"/>
      <c r="Q494" s="29"/>
      <c r="R494" s="32"/>
      <c r="S494" s="29"/>
      <c r="T494" s="34"/>
      <c r="U494" s="29"/>
      <c r="V494" s="29"/>
      <c r="W494" s="28"/>
      <c r="X494" s="28"/>
      <c r="Y494" s="35"/>
      <c r="Z494" s="28"/>
      <c r="AA494" s="36"/>
      <c r="AB494" s="36"/>
    </row>
    <row r="495">
      <c r="A495" s="28"/>
      <c r="B495" s="29"/>
      <c r="C495" s="29"/>
      <c r="D495" s="30"/>
      <c r="E495" s="31"/>
      <c r="F495" s="29"/>
      <c r="G495" s="29"/>
      <c r="H495" s="29"/>
      <c r="I495" s="29"/>
      <c r="J495" s="29"/>
      <c r="K495" s="29"/>
      <c r="L495" s="32"/>
      <c r="M495" s="29"/>
      <c r="N495" s="29"/>
      <c r="O495" s="33"/>
      <c r="P495" s="29"/>
      <c r="Q495" s="29"/>
      <c r="R495" s="32"/>
      <c r="S495" s="29"/>
      <c r="T495" s="34"/>
      <c r="U495" s="29"/>
      <c r="V495" s="29"/>
      <c r="W495" s="28"/>
      <c r="X495" s="28"/>
      <c r="Y495" s="35"/>
      <c r="Z495" s="28"/>
      <c r="AA495" s="36"/>
      <c r="AB495" s="36"/>
    </row>
    <row r="496">
      <c r="A496" s="28"/>
      <c r="B496" s="29"/>
      <c r="C496" s="29"/>
      <c r="D496" s="30"/>
      <c r="E496" s="31"/>
      <c r="F496" s="29"/>
      <c r="G496" s="29"/>
      <c r="H496" s="29"/>
      <c r="I496" s="29"/>
      <c r="J496" s="29"/>
      <c r="K496" s="29"/>
      <c r="L496" s="32"/>
      <c r="M496" s="29"/>
      <c r="N496" s="29"/>
      <c r="O496" s="33"/>
      <c r="P496" s="29"/>
      <c r="Q496" s="29"/>
      <c r="R496" s="32"/>
      <c r="S496" s="29"/>
      <c r="T496" s="34"/>
      <c r="U496" s="29"/>
      <c r="V496" s="29"/>
      <c r="W496" s="28"/>
      <c r="X496" s="28"/>
      <c r="Y496" s="35"/>
      <c r="Z496" s="28"/>
      <c r="AA496" s="36"/>
      <c r="AB496" s="36"/>
    </row>
    <row r="497">
      <c r="A497" s="28"/>
      <c r="B497" s="29"/>
      <c r="C497" s="29"/>
      <c r="D497" s="30"/>
      <c r="E497" s="31"/>
      <c r="F497" s="29"/>
      <c r="G497" s="29"/>
      <c r="H497" s="29"/>
      <c r="I497" s="29"/>
      <c r="J497" s="29"/>
      <c r="K497" s="29"/>
      <c r="L497" s="32"/>
      <c r="M497" s="29"/>
      <c r="N497" s="29"/>
      <c r="O497" s="33"/>
      <c r="P497" s="29"/>
      <c r="Q497" s="29"/>
      <c r="R497" s="32"/>
      <c r="S497" s="29"/>
      <c r="T497" s="34"/>
      <c r="U497" s="29"/>
      <c r="V497" s="29"/>
      <c r="W497" s="28"/>
      <c r="X497" s="28"/>
      <c r="Y497" s="35"/>
      <c r="Z497" s="28"/>
      <c r="AA497" s="36"/>
      <c r="AB497" s="36"/>
    </row>
    <row r="498">
      <c r="A498" s="28"/>
      <c r="B498" s="29"/>
      <c r="C498" s="29"/>
      <c r="D498" s="30"/>
      <c r="E498" s="31"/>
      <c r="F498" s="29"/>
      <c r="G498" s="29"/>
      <c r="H498" s="29"/>
      <c r="I498" s="29"/>
      <c r="J498" s="29"/>
      <c r="K498" s="29"/>
      <c r="L498" s="32"/>
      <c r="M498" s="29"/>
      <c r="N498" s="29"/>
      <c r="O498" s="33"/>
      <c r="P498" s="29"/>
      <c r="Q498" s="29"/>
      <c r="R498" s="32"/>
      <c r="S498" s="29"/>
      <c r="T498" s="34"/>
      <c r="U498" s="29"/>
      <c r="V498" s="29"/>
      <c r="W498" s="28"/>
      <c r="X498" s="28"/>
      <c r="Y498" s="35"/>
      <c r="Z498" s="28"/>
      <c r="AA498" s="36"/>
      <c r="AB498" s="36"/>
    </row>
    <row r="499">
      <c r="A499" s="28"/>
      <c r="B499" s="29"/>
      <c r="C499" s="29"/>
      <c r="D499" s="30"/>
      <c r="E499" s="31"/>
      <c r="F499" s="29"/>
      <c r="G499" s="29"/>
      <c r="H499" s="29"/>
      <c r="I499" s="29"/>
      <c r="J499" s="29"/>
      <c r="K499" s="29"/>
      <c r="L499" s="32"/>
      <c r="M499" s="29"/>
      <c r="N499" s="29"/>
      <c r="O499" s="33"/>
      <c r="P499" s="29"/>
      <c r="Q499" s="29"/>
      <c r="R499" s="32"/>
      <c r="S499" s="29"/>
      <c r="T499" s="34"/>
      <c r="U499" s="29"/>
      <c r="V499" s="29"/>
      <c r="W499" s="28"/>
      <c r="X499" s="28"/>
      <c r="Y499" s="35"/>
      <c r="Z499" s="28"/>
      <c r="AA499" s="36"/>
      <c r="AB499" s="36"/>
    </row>
    <row r="500">
      <c r="A500" s="28"/>
      <c r="B500" s="29"/>
      <c r="C500" s="29"/>
      <c r="D500" s="30"/>
      <c r="E500" s="31"/>
      <c r="F500" s="29"/>
      <c r="G500" s="29"/>
      <c r="H500" s="29"/>
      <c r="I500" s="29"/>
      <c r="J500" s="29"/>
      <c r="K500" s="29"/>
      <c r="L500" s="32"/>
      <c r="M500" s="29"/>
      <c r="N500" s="29"/>
      <c r="O500" s="33"/>
      <c r="P500" s="29"/>
      <c r="Q500" s="29"/>
      <c r="R500" s="32"/>
      <c r="S500" s="29"/>
      <c r="T500" s="34"/>
      <c r="U500" s="29"/>
      <c r="V500" s="29"/>
      <c r="W500" s="28"/>
      <c r="X500" s="28"/>
      <c r="Y500" s="35"/>
      <c r="Z500" s="28"/>
      <c r="AA500" s="36"/>
      <c r="AB500" s="36"/>
    </row>
    <row r="501">
      <c r="A501" s="28"/>
      <c r="B501" s="29"/>
      <c r="C501" s="29"/>
      <c r="D501" s="30"/>
      <c r="E501" s="31"/>
      <c r="F501" s="29"/>
      <c r="G501" s="29"/>
      <c r="H501" s="29"/>
      <c r="I501" s="29"/>
      <c r="J501" s="29"/>
      <c r="K501" s="29"/>
      <c r="L501" s="32"/>
      <c r="M501" s="29"/>
      <c r="N501" s="29"/>
      <c r="O501" s="33"/>
      <c r="P501" s="29"/>
      <c r="Q501" s="29"/>
      <c r="R501" s="32"/>
      <c r="S501" s="29"/>
      <c r="T501" s="34"/>
      <c r="U501" s="29"/>
      <c r="V501" s="29"/>
      <c r="W501" s="28"/>
      <c r="X501" s="28"/>
      <c r="Y501" s="35"/>
      <c r="Z501" s="28"/>
      <c r="AA501" s="36"/>
      <c r="AB501" s="36"/>
    </row>
    <row r="502">
      <c r="A502" s="28"/>
      <c r="B502" s="29"/>
      <c r="C502" s="29"/>
      <c r="D502" s="30"/>
      <c r="E502" s="31"/>
      <c r="F502" s="29"/>
      <c r="G502" s="29"/>
      <c r="H502" s="29"/>
      <c r="I502" s="29"/>
      <c r="J502" s="29"/>
      <c r="K502" s="29"/>
      <c r="L502" s="32"/>
      <c r="M502" s="29"/>
      <c r="N502" s="29"/>
      <c r="O502" s="33"/>
      <c r="P502" s="29"/>
      <c r="Q502" s="29"/>
      <c r="R502" s="32"/>
      <c r="S502" s="29"/>
      <c r="T502" s="34"/>
      <c r="U502" s="29"/>
      <c r="V502" s="29"/>
      <c r="W502" s="28"/>
      <c r="X502" s="28"/>
      <c r="Y502" s="35"/>
      <c r="Z502" s="28"/>
      <c r="AA502" s="36"/>
      <c r="AB502" s="36"/>
    </row>
    <row r="503">
      <c r="A503" s="28"/>
      <c r="B503" s="29"/>
      <c r="C503" s="29"/>
      <c r="D503" s="30"/>
      <c r="E503" s="31"/>
      <c r="F503" s="29"/>
      <c r="G503" s="29"/>
      <c r="H503" s="29"/>
      <c r="I503" s="29"/>
      <c r="J503" s="29"/>
      <c r="K503" s="29"/>
      <c r="L503" s="32"/>
      <c r="M503" s="29"/>
      <c r="N503" s="29"/>
      <c r="O503" s="33"/>
      <c r="P503" s="29"/>
      <c r="Q503" s="29"/>
      <c r="R503" s="32"/>
      <c r="S503" s="29"/>
      <c r="T503" s="34"/>
      <c r="U503" s="29"/>
      <c r="V503" s="29"/>
      <c r="W503" s="28"/>
      <c r="X503" s="28"/>
      <c r="Y503" s="35"/>
      <c r="Z503" s="28"/>
      <c r="AA503" s="36"/>
      <c r="AB503" s="36"/>
    </row>
    <row r="504">
      <c r="A504" s="28"/>
      <c r="B504" s="29"/>
      <c r="C504" s="29"/>
      <c r="D504" s="30"/>
      <c r="E504" s="31"/>
      <c r="F504" s="29"/>
      <c r="G504" s="29"/>
      <c r="H504" s="29"/>
      <c r="I504" s="29"/>
      <c r="J504" s="29"/>
      <c r="K504" s="29"/>
      <c r="L504" s="32"/>
      <c r="M504" s="29"/>
      <c r="N504" s="29"/>
      <c r="O504" s="33"/>
      <c r="P504" s="29"/>
      <c r="Q504" s="29"/>
      <c r="R504" s="32"/>
      <c r="S504" s="29"/>
      <c r="T504" s="34"/>
      <c r="U504" s="29"/>
      <c r="V504" s="29"/>
      <c r="W504" s="28"/>
      <c r="X504" s="28"/>
      <c r="Y504" s="35"/>
      <c r="Z504" s="28"/>
      <c r="AA504" s="36"/>
      <c r="AB504" s="36"/>
    </row>
    <row r="505">
      <c r="A505" s="28"/>
      <c r="B505" s="29"/>
      <c r="C505" s="29"/>
      <c r="D505" s="30"/>
      <c r="E505" s="31"/>
      <c r="F505" s="29"/>
      <c r="G505" s="29"/>
      <c r="H505" s="29"/>
      <c r="I505" s="29"/>
      <c r="J505" s="29"/>
      <c r="K505" s="29"/>
      <c r="L505" s="32"/>
      <c r="M505" s="29"/>
      <c r="N505" s="29"/>
      <c r="O505" s="33"/>
      <c r="P505" s="29"/>
      <c r="Q505" s="29"/>
      <c r="R505" s="32"/>
      <c r="S505" s="29"/>
      <c r="T505" s="34"/>
      <c r="U505" s="29"/>
      <c r="V505" s="29"/>
      <c r="W505" s="28"/>
      <c r="X505" s="28"/>
      <c r="Y505" s="35"/>
      <c r="Z505" s="28"/>
      <c r="AA505" s="36"/>
      <c r="AB505" s="36"/>
    </row>
    <row r="506">
      <c r="A506" s="28"/>
      <c r="B506" s="29"/>
      <c r="C506" s="29"/>
      <c r="D506" s="30"/>
      <c r="E506" s="31"/>
      <c r="F506" s="29"/>
      <c r="G506" s="29"/>
      <c r="H506" s="29"/>
      <c r="I506" s="29"/>
      <c r="J506" s="29"/>
      <c r="K506" s="29"/>
      <c r="L506" s="32"/>
      <c r="M506" s="29"/>
      <c r="N506" s="29"/>
      <c r="O506" s="33"/>
      <c r="P506" s="29"/>
      <c r="Q506" s="29"/>
      <c r="R506" s="32"/>
      <c r="S506" s="29"/>
      <c r="T506" s="34"/>
      <c r="U506" s="29"/>
      <c r="V506" s="29"/>
      <c r="W506" s="28"/>
      <c r="X506" s="28"/>
      <c r="Y506" s="35"/>
      <c r="Z506" s="28"/>
      <c r="AA506" s="36"/>
      <c r="AB506" s="36"/>
    </row>
    <row r="507">
      <c r="A507" s="28"/>
      <c r="B507" s="29"/>
      <c r="C507" s="29"/>
      <c r="D507" s="30"/>
      <c r="E507" s="31"/>
      <c r="F507" s="29"/>
      <c r="G507" s="29"/>
      <c r="H507" s="29"/>
      <c r="I507" s="29"/>
      <c r="J507" s="29"/>
      <c r="K507" s="29"/>
      <c r="L507" s="32"/>
      <c r="M507" s="29"/>
      <c r="N507" s="29"/>
      <c r="O507" s="33"/>
      <c r="P507" s="29"/>
      <c r="Q507" s="29"/>
      <c r="R507" s="32"/>
      <c r="S507" s="29"/>
      <c r="T507" s="34"/>
      <c r="U507" s="29"/>
      <c r="V507" s="29"/>
      <c r="W507" s="28"/>
      <c r="X507" s="28"/>
      <c r="Y507" s="35"/>
      <c r="Z507" s="28"/>
      <c r="AA507" s="36"/>
      <c r="AB507" s="36"/>
    </row>
    <row r="508">
      <c r="A508" s="28"/>
      <c r="B508" s="29"/>
      <c r="C508" s="29"/>
      <c r="D508" s="30"/>
      <c r="E508" s="31"/>
      <c r="F508" s="29"/>
      <c r="G508" s="29"/>
      <c r="H508" s="29"/>
      <c r="I508" s="29"/>
      <c r="J508" s="29"/>
      <c r="K508" s="29"/>
      <c r="L508" s="32"/>
      <c r="M508" s="29"/>
      <c r="N508" s="29"/>
      <c r="O508" s="33"/>
      <c r="P508" s="29"/>
      <c r="Q508" s="29"/>
      <c r="R508" s="32"/>
      <c r="S508" s="29"/>
      <c r="T508" s="34"/>
      <c r="U508" s="29"/>
      <c r="V508" s="29"/>
      <c r="W508" s="28"/>
      <c r="X508" s="28"/>
      <c r="Y508" s="35"/>
      <c r="Z508" s="28"/>
      <c r="AA508" s="36"/>
      <c r="AB508" s="36"/>
    </row>
    <row r="509">
      <c r="A509" s="28"/>
      <c r="B509" s="29"/>
      <c r="C509" s="29"/>
      <c r="D509" s="30"/>
      <c r="E509" s="31"/>
      <c r="F509" s="29"/>
      <c r="G509" s="29"/>
      <c r="H509" s="29"/>
      <c r="I509" s="29"/>
      <c r="J509" s="29"/>
      <c r="K509" s="29"/>
      <c r="L509" s="32"/>
      <c r="M509" s="29"/>
      <c r="N509" s="29"/>
      <c r="O509" s="33"/>
      <c r="P509" s="29"/>
      <c r="Q509" s="29"/>
      <c r="R509" s="32"/>
      <c r="S509" s="29"/>
      <c r="T509" s="34"/>
      <c r="U509" s="29"/>
      <c r="V509" s="29"/>
      <c r="W509" s="28"/>
      <c r="X509" s="28"/>
      <c r="Y509" s="35"/>
      <c r="Z509" s="28"/>
      <c r="AA509" s="36"/>
      <c r="AB509" s="36"/>
    </row>
    <row r="510">
      <c r="A510" s="28"/>
      <c r="B510" s="29"/>
      <c r="C510" s="29"/>
      <c r="D510" s="30"/>
      <c r="E510" s="31"/>
      <c r="F510" s="29"/>
      <c r="G510" s="29"/>
      <c r="H510" s="29"/>
      <c r="I510" s="29"/>
      <c r="J510" s="29"/>
      <c r="K510" s="29"/>
      <c r="L510" s="32"/>
      <c r="M510" s="29"/>
      <c r="N510" s="29"/>
      <c r="O510" s="33"/>
      <c r="P510" s="29"/>
      <c r="Q510" s="29"/>
      <c r="R510" s="32"/>
      <c r="S510" s="29"/>
      <c r="T510" s="34"/>
      <c r="U510" s="29"/>
      <c r="V510" s="29"/>
      <c r="W510" s="28"/>
      <c r="X510" s="28"/>
      <c r="Y510" s="35"/>
      <c r="Z510" s="28"/>
      <c r="AA510" s="36"/>
      <c r="AB510" s="36"/>
    </row>
    <row r="511">
      <c r="A511" s="28"/>
      <c r="B511" s="29"/>
      <c r="C511" s="29"/>
      <c r="D511" s="30"/>
      <c r="E511" s="31"/>
      <c r="F511" s="29"/>
      <c r="G511" s="29"/>
      <c r="H511" s="29"/>
      <c r="I511" s="29"/>
      <c r="J511" s="29"/>
      <c r="K511" s="29"/>
      <c r="L511" s="32"/>
      <c r="M511" s="29"/>
      <c r="N511" s="29"/>
      <c r="O511" s="33"/>
      <c r="P511" s="29"/>
      <c r="Q511" s="29"/>
      <c r="R511" s="32"/>
      <c r="S511" s="29"/>
      <c r="T511" s="34"/>
      <c r="U511" s="29"/>
      <c r="V511" s="29"/>
      <c r="W511" s="28"/>
      <c r="X511" s="28"/>
      <c r="Y511" s="35"/>
      <c r="Z511" s="28"/>
      <c r="AA511" s="36"/>
      <c r="AB511" s="36"/>
    </row>
    <row r="512">
      <c r="A512" s="28"/>
      <c r="B512" s="29"/>
      <c r="C512" s="29"/>
      <c r="D512" s="30"/>
      <c r="E512" s="31"/>
      <c r="F512" s="29"/>
      <c r="G512" s="29"/>
      <c r="H512" s="29"/>
      <c r="I512" s="29"/>
      <c r="J512" s="29"/>
      <c r="K512" s="29"/>
      <c r="L512" s="32"/>
      <c r="M512" s="29"/>
      <c r="N512" s="29"/>
      <c r="O512" s="33"/>
      <c r="P512" s="29"/>
      <c r="Q512" s="29"/>
      <c r="R512" s="32"/>
      <c r="S512" s="29"/>
      <c r="T512" s="34"/>
      <c r="U512" s="29"/>
      <c r="V512" s="29"/>
      <c r="W512" s="28"/>
      <c r="X512" s="28"/>
      <c r="Y512" s="35"/>
      <c r="Z512" s="28"/>
      <c r="AA512" s="36"/>
      <c r="AB512" s="36"/>
    </row>
    <row r="513">
      <c r="A513" s="28"/>
      <c r="B513" s="29"/>
      <c r="C513" s="29"/>
      <c r="D513" s="30"/>
      <c r="E513" s="31"/>
      <c r="F513" s="29"/>
      <c r="G513" s="29"/>
      <c r="H513" s="29"/>
      <c r="I513" s="29"/>
      <c r="J513" s="29"/>
      <c r="K513" s="29"/>
      <c r="L513" s="32"/>
      <c r="M513" s="29"/>
      <c r="N513" s="29"/>
      <c r="O513" s="33"/>
      <c r="P513" s="29"/>
      <c r="Q513" s="29"/>
      <c r="R513" s="32"/>
      <c r="S513" s="29"/>
      <c r="T513" s="34"/>
      <c r="U513" s="29"/>
      <c r="V513" s="29"/>
      <c r="W513" s="28"/>
      <c r="X513" s="28"/>
      <c r="Y513" s="35"/>
      <c r="Z513" s="28"/>
      <c r="AA513" s="36"/>
      <c r="AB513" s="36"/>
    </row>
    <row r="514">
      <c r="A514" s="28"/>
      <c r="B514" s="29"/>
      <c r="C514" s="29"/>
      <c r="D514" s="30"/>
      <c r="E514" s="31"/>
      <c r="F514" s="29"/>
      <c r="G514" s="29"/>
      <c r="H514" s="29"/>
      <c r="I514" s="29"/>
      <c r="J514" s="29"/>
      <c r="K514" s="29"/>
      <c r="L514" s="32"/>
      <c r="M514" s="29"/>
      <c r="N514" s="29"/>
      <c r="O514" s="33"/>
      <c r="P514" s="29"/>
      <c r="Q514" s="29"/>
      <c r="R514" s="32"/>
      <c r="S514" s="29"/>
      <c r="T514" s="34"/>
      <c r="U514" s="29"/>
      <c r="V514" s="29"/>
      <c r="W514" s="28"/>
      <c r="X514" s="28"/>
      <c r="Y514" s="35"/>
      <c r="Z514" s="28"/>
      <c r="AA514" s="36"/>
      <c r="AB514" s="36"/>
    </row>
    <row r="515">
      <c r="A515" s="28"/>
      <c r="B515" s="29"/>
      <c r="C515" s="29"/>
      <c r="D515" s="30"/>
      <c r="E515" s="31"/>
      <c r="F515" s="29"/>
      <c r="G515" s="29"/>
      <c r="H515" s="29"/>
      <c r="I515" s="29"/>
      <c r="J515" s="29"/>
      <c r="K515" s="29"/>
      <c r="L515" s="32"/>
      <c r="M515" s="29"/>
      <c r="N515" s="29"/>
      <c r="O515" s="33"/>
      <c r="P515" s="29"/>
      <c r="Q515" s="29"/>
      <c r="R515" s="32"/>
      <c r="S515" s="29"/>
      <c r="T515" s="34"/>
      <c r="U515" s="29"/>
      <c r="V515" s="29"/>
      <c r="W515" s="28"/>
      <c r="X515" s="28"/>
      <c r="Y515" s="35"/>
      <c r="Z515" s="28"/>
      <c r="AA515" s="36"/>
      <c r="AB515" s="36"/>
    </row>
    <row r="516">
      <c r="A516" s="28"/>
      <c r="B516" s="29"/>
      <c r="C516" s="29"/>
      <c r="D516" s="30"/>
      <c r="E516" s="31"/>
      <c r="F516" s="29"/>
      <c r="G516" s="29"/>
      <c r="H516" s="29"/>
      <c r="I516" s="29"/>
      <c r="J516" s="29"/>
      <c r="K516" s="29"/>
      <c r="L516" s="32"/>
      <c r="M516" s="29"/>
      <c r="N516" s="29"/>
      <c r="O516" s="33"/>
      <c r="P516" s="29"/>
      <c r="Q516" s="29"/>
      <c r="R516" s="32"/>
      <c r="S516" s="29"/>
      <c r="T516" s="34"/>
      <c r="U516" s="29"/>
      <c r="V516" s="29"/>
      <c r="W516" s="28"/>
      <c r="X516" s="28"/>
      <c r="Y516" s="35"/>
      <c r="Z516" s="28"/>
      <c r="AA516" s="36"/>
      <c r="AB516" s="36"/>
    </row>
    <row r="517">
      <c r="A517" s="28"/>
      <c r="B517" s="29"/>
      <c r="C517" s="29"/>
      <c r="D517" s="30"/>
      <c r="E517" s="31"/>
      <c r="F517" s="29"/>
      <c r="G517" s="29"/>
      <c r="H517" s="29"/>
      <c r="I517" s="29"/>
      <c r="J517" s="29"/>
      <c r="K517" s="29"/>
      <c r="L517" s="32"/>
      <c r="M517" s="29"/>
      <c r="N517" s="29"/>
      <c r="O517" s="33"/>
      <c r="P517" s="29"/>
      <c r="Q517" s="29"/>
      <c r="R517" s="32"/>
      <c r="S517" s="29"/>
      <c r="T517" s="34"/>
      <c r="U517" s="29"/>
      <c r="V517" s="29"/>
      <c r="W517" s="28"/>
      <c r="X517" s="28"/>
      <c r="Y517" s="35"/>
      <c r="Z517" s="28"/>
      <c r="AA517" s="36"/>
      <c r="AB517" s="36"/>
    </row>
    <row r="518">
      <c r="A518" s="28"/>
      <c r="B518" s="29"/>
      <c r="C518" s="29"/>
      <c r="D518" s="30"/>
      <c r="E518" s="31"/>
      <c r="F518" s="29"/>
      <c r="G518" s="29"/>
      <c r="H518" s="29"/>
      <c r="I518" s="29"/>
      <c r="J518" s="29"/>
      <c r="K518" s="29"/>
      <c r="L518" s="32"/>
      <c r="M518" s="29"/>
      <c r="N518" s="29"/>
      <c r="O518" s="33"/>
      <c r="P518" s="29"/>
      <c r="Q518" s="29"/>
      <c r="R518" s="32"/>
      <c r="S518" s="29"/>
      <c r="T518" s="34"/>
      <c r="U518" s="29"/>
      <c r="V518" s="29"/>
      <c r="W518" s="28"/>
      <c r="X518" s="28"/>
      <c r="Y518" s="35"/>
      <c r="Z518" s="28"/>
      <c r="AA518" s="36"/>
      <c r="AB518" s="36"/>
    </row>
    <row r="519">
      <c r="A519" s="28"/>
      <c r="B519" s="29"/>
      <c r="C519" s="29"/>
      <c r="D519" s="30"/>
      <c r="E519" s="31"/>
      <c r="F519" s="29"/>
      <c r="G519" s="29"/>
      <c r="H519" s="29"/>
      <c r="I519" s="29"/>
      <c r="J519" s="29"/>
      <c r="K519" s="29"/>
      <c r="L519" s="32"/>
      <c r="M519" s="29"/>
      <c r="N519" s="29"/>
      <c r="O519" s="33"/>
      <c r="P519" s="29"/>
      <c r="Q519" s="29"/>
      <c r="R519" s="32"/>
      <c r="S519" s="29"/>
      <c r="T519" s="34"/>
      <c r="U519" s="29"/>
      <c r="V519" s="29"/>
      <c r="W519" s="28"/>
      <c r="X519" s="28"/>
      <c r="Y519" s="35"/>
      <c r="Z519" s="28"/>
      <c r="AA519" s="36"/>
      <c r="AB519" s="36"/>
    </row>
    <row r="520">
      <c r="A520" s="28"/>
      <c r="B520" s="29"/>
      <c r="C520" s="29"/>
      <c r="D520" s="30"/>
      <c r="E520" s="31"/>
      <c r="F520" s="29"/>
      <c r="G520" s="29"/>
      <c r="H520" s="29"/>
      <c r="I520" s="29"/>
      <c r="J520" s="29"/>
      <c r="K520" s="29"/>
      <c r="L520" s="32"/>
      <c r="M520" s="29"/>
      <c r="N520" s="29"/>
      <c r="O520" s="33"/>
      <c r="P520" s="29"/>
      <c r="Q520" s="29"/>
      <c r="R520" s="32"/>
      <c r="S520" s="29"/>
      <c r="T520" s="34"/>
      <c r="U520" s="29"/>
      <c r="V520" s="29"/>
      <c r="W520" s="28"/>
      <c r="X520" s="28"/>
      <c r="Y520" s="35"/>
      <c r="Z520" s="28"/>
      <c r="AA520" s="36"/>
      <c r="AB520" s="36"/>
    </row>
    <row r="521">
      <c r="A521" s="28"/>
      <c r="B521" s="29"/>
      <c r="C521" s="29"/>
      <c r="D521" s="30"/>
      <c r="E521" s="31"/>
      <c r="F521" s="29"/>
      <c r="G521" s="29"/>
      <c r="H521" s="29"/>
      <c r="I521" s="29"/>
      <c r="J521" s="29"/>
      <c r="K521" s="29"/>
      <c r="L521" s="32"/>
      <c r="M521" s="29"/>
      <c r="N521" s="29"/>
      <c r="O521" s="33"/>
      <c r="P521" s="29"/>
      <c r="Q521" s="29"/>
      <c r="R521" s="32"/>
      <c r="S521" s="29"/>
      <c r="T521" s="34"/>
      <c r="U521" s="29"/>
      <c r="V521" s="29"/>
      <c r="W521" s="28"/>
      <c r="X521" s="28"/>
      <c r="Y521" s="35"/>
      <c r="Z521" s="28"/>
      <c r="AA521" s="36"/>
      <c r="AB521" s="36"/>
    </row>
    <row r="522">
      <c r="A522" s="28"/>
      <c r="B522" s="29"/>
      <c r="C522" s="29"/>
      <c r="D522" s="30"/>
      <c r="E522" s="31"/>
      <c r="F522" s="29"/>
      <c r="G522" s="29"/>
      <c r="H522" s="29"/>
      <c r="I522" s="29"/>
      <c r="J522" s="29"/>
      <c r="K522" s="29"/>
      <c r="L522" s="32"/>
      <c r="M522" s="29"/>
      <c r="N522" s="29"/>
      <c r="O522" s="33"/>
      <c r="P522" s="29"/>
      <c r="Q522" s="29"/>
      <c r="R522" s="32"/>
      <c r="S522" s="29"/>
      <c r="T522" s="34"/>
      <c r="U522" s="29"/>
      <c r="V522" s="29"/>
      <c r="W522" s="28"/>
      <c r="X522" s="28"/>
      <c r="Y522" s="35"/>
      <c r="Z522" s="28"/>
      <c r="AA522" s="36"/>
      <c r="AB522" s="36"/>
    </row>
    <row r="523">
      <c r="A523" s="28"/>
      <c r="B523" s="29"/>
      <c r="C523" s="29"/>
      <c r="D523" s="30"/>
      <c r="E523" s="31"/>
      <c r="F523" s="29"/>
      <c r="G523" s="29"/>
      <c r="H523" s="29"/>
      <c r="I523" s="29"/>
      <c r="J523" s="29"/>
      <c r="K523" s="29"/>
      <c r="L523" s="32"/>
      <c r="M523" s="29"/>
      <c r="N523" s="29"/>
      <c r="O523" s="33"/>
      <c r="P523" s="29"/>
      <c r="Q523" s="29"/>
      <c r="R523" s="32"/>
      <c r="S523" s="29"/>
      <c r="T523" s="34"/>
      <c r="U523" s="29"/>
      <c r="V523" s="29"/>
      <c r="W523" s="28"/>
      <c r="X523" s="28"/>
      <c r="Y523" s="35"/>
      <c r="Z523" s="28"/>
      <c r="AA523" s="36"/>
      <c r="AB523" s="36"/>
    </row>
    <row r="524">
      <c r="A524" s="28"/>
      <c r="B524" s="29"/>
      <c r="C524" s="29"/>
      <c r="D524" s="30"/>
      <c r="E524" s="31"/>
      <c r="F524" s="29"/>
      <c r="G524" s="29"/>
      <c r="H524" s="29"/>
      <c r="I524" s="29"/>
      <c r="J524" s="29"/>
      <c r="K524" s="29"/>
      <c r="L524" s="32"/>
      <c r="M524" s="29"/>
      <c r="N524" s="29"/>
      <c r="O524" s="33"/>
      <c r="P524" s="29"/>
      <c r="Q524" s="29"/>
      <c r="R524" s="32"/>
      <c r="S524" s="29"/>
      <c r="T524" s="34"/>
      <c r="U524" s="29"/>
      <c r="V524" s="29"/>
      <c r="W524" s="28"/>
      <c r="X524" s="28"/>
      <c r="Y524" s="35"/>
      <c r="Z524" s="28"/>
      <c r="AA524" s="36"/>
      <c r="AB524" s="36"/>
    </row>
    <row r="525">
      <c r="A525" s="28"/>
      <c r="B525" s="29"/>
      <c r="C525" s="29"/>
      <c r="D525" s="30"/>
      <c r="E525" s="31"/>
      <c r="F525" s="29"/>
      <c r="G525" s="29"/>
      <c r="H525" s="29"/>
      <c r="I525" s="29"/>
      <c r="J525" s="29"/>
      <c r="K525" s="29"/>
      <c r="L525" s="32"/>
      <c r="M525" s="29"/>
      <c r="N525" s="29"/>
      <c r="O525" s="33"/>
      <c r="P525" s="29"/>
      <c r="Q525" s="29"/>
      <c r="R525" s="32"/>
      <c r="S525" s="29"/>
      <c r="T525" s="34"/>
      <c r="U525" s="29"/>
      <c r="V525" s="29"/>
      <c r="W525" s="28"/>
      <c r="X525" s="28"/>
      <c r="Y525" s="35"/>
      <c r="Z525" s="28"/>
      <c r="AA525" s="36"/>
      <c r="AB525" s="36"/>
    </row>
    <row r="526">
      <c r="A526" s="28"/>
      <c r="B526" s="29"/>
      <c r="C526" s="29"/>
      <c r="D526" s="30"/>
      <c r="E526" s="31"/>
      <c r="F526" s="29"/>
      <c r="G526" s="29"/>
      <c r="H526" s="29"/>
      <c r="I526" s="29"/>
      <c r="J526" s="29"/>
      <c r="K526" s="29"/>
      <c r="L526" s="32"/>
      <c r="M526" s="29"/>
      <c r="N526" s="29"/>
      <c r="O526" s="33"/>
      <c r="P526" s="29"/>
      <c r="Q526" s="29"/>
      <c r="R526" s="32"/>
      <c r="S526" s="29"/>
      <c r="T526" s="34"/>
      <c r="U526" s="29"/>
      <c r="V526" s="29"/>
      <c r="W526" s="28"/>
      <c r="X526" s="28"/>
      <c r="Y526" s="35"/>
      <c r="Z526" s="28"/>
      <c r="AA526" s="36"/>
      <c r="AB526" s="36"/>
    </row>
    <row r="527">
      <c r="A527" s="28"/>
      <c r="B527" s="29"/>
      <c r="C527" s="29"/>
      <c r="D527" s="30"/>
      <c r="E527" s="31"/>
      <c r="F527" s="29"/>
      <c r="G527" s="29"/>
      <c r="H527" s="29"/>
      <c r="I527" s="29"/>
      <c r="J527" s="29"/>
      <c r="K527" s="29"/>
      <c r="L527" s="32"/>
      <c r="M527" s="29"/>
      <c r="N527" s="29"/>
      <c r="O527" s="33"/>
      <c r="P527" s="29"/>
      <c r="Q527" s="29"/>
      <c r="R527" s="32"/>
      <c r="S527" s="29"/>
      <c r="T527" s="34"/>
      <c r="U527" s="29"/>
      <c r="V527" s="29"/>
      <c r="W527" s="28"/>
      <c r="X527" s="28"/>
      <c r="Y527" s="35"/>
      <c r="Z527" s="28"/>
      <c r="AA527" s="36"/>
      <c r="AB527" s="36"/>
    </row>
    <row r="528">
      <c r="A528" s="28"/>
      <c r="B528" s="29"/>
      <c r="C528" s="29"/>
      <c r="D528" s="30"/>
      <c r="E528" s="31"/>
      <c r="F528" s="29"/>
      <c r="G528" s="29"/>
      <c r="H528" s="29"/>
      <c r="I528" s="29"/>
      <c r="J528" s="29"/>
      <c r="K528" s="29"/>
      <c r="L528" s="32"/>
      <c r="M528" s="29"/>
      <c r="N528" s="29"/>
      <c r="O528" s="33"/>
      <c r="P528" s="29"/>
      <c r="Q528" s="29"/>
      <c r="R528" s="32"/>
      <c r="S528" s="29"/>
      <c r="T528" s="34"/>
      <c r="U528" s="29"/>
      <c r="V528" s="29"/>
      <c r="W528" s="28"/>
      <c r="X528" s="28"/>
      <c r="Y528" s="35"/>
      <c r="Z528" s="28"/>
      <c r="AA528" s="36"/>
      <c r="AB528" s="36"/>
    </row>
    <row r="529">
      <c r="A529" s="28"/>
      <c r="B529" s="29"/>
      <c r="C529" s="29"/>
      <c r="D529" s="30"/>
      <c r="E529" s="31"/>
      <c r="F529" s="29"/>
      <c r="G529" s="29"/>
      <c r="H529" s="29"/>
      <c r="I529" s="29"/>
      <c r="J529" s="29"/>
      <c r="K529" s="29"/>
      <c r="L529" s="32"/>
      <c r="M529" s="29"/>
      <c r="N529" s="29"/>
      <c r="O529" s="33"/>
      <c r="P529" s="29"/>
      <c r="Q529" s="29"/>
      <c r="R529" s="32"/>
      <c r="S529" s="29"/>
      <c r="T529" s="34"/>
      <c r="U529" s="29"/>
      <c r="V529" s="29"/>
      <c r="W529" s="28"/>
      <c r="X529" s="28"/>
      <c r="Y529" s="35"/>
      <c r="Z529" s="28"/>
      <c r="AA529" s="36"/>
      <c r="AB529" s="36"/>
    </row>
    <row r="530">
      <c r="A530" s="28"/>
      <c r="B530" s="29"/>
      <c r="C530" s="29"/>
      <c r="D530" s="30"/>
      <c r="E530" s="31"/>
      <c r="F530" s="29"/>
      <c r="G530" s="29"/>
      <c r="H530" s="29"/>
      <c r="I530" s="29"/>
      <c r="J530" s="29"/>
      <c r="K530" s="29"/>
      <c r="L530" s="32"/>
      <c r="M530" s="29"/>
      <c r="N530" s="29"/>
      <c r="O530" s="33"/>
      <c r="P530" s="29"/>
      <c r="Q530" s="29"/>
      <c r="R530" s="32"/>
      <c r="S530" s="29"/>
      <c r="T530" s="34"/>
      <c r="U530" s="29"/>
      <c r="V530" s="29"/>
      <c r="W530" s="28"/>
      <c r="X530" s="28"/>
      <c r="Y530" s="35"/>
      <c r="Z530" s="28"/>
      <c r="AA530" s="36"/>
      <c r="AB530" s="36"/>
    </row>
    <row r="531">
      <c r="A531" s="28"/>
      <c r="B531" s="29"/>
      <c r="C531" s="29"/>
      <c r="D531" s="30"/>
      <c r="E531" s="31"/>
      <c r="F531" s="29"/>
      <c r="G531" s="29"/>
      <c r="H531" s="29"/>
      <c r="I531" s="29"/>
      <c r="J531" s="29"/>
      <c r="K531" s="29"/>
      <c r="L531" s="32"/>
      <c r="M531" s="29"/>
      <c r="N531" s="29"/>
      <c r="O531" s="33"/>
      <c r="P531" s="29"/>
      <c r="Q531" s="29"/>
      <c r="R531" s="32"/>
      <c r="S531" s="29"/>
      <c r="T531" s="34"/>
      <c r="U531" s="29"/>
      <c r="V531" s="29"/>
      <c r="W531" s="28"/>
      <c r="X531" s="28"/>
      <c r="Y531" s="35"/>
      <c r="Z531" s="28"/>
      <c r="AA531" s="36"/>
      <c r="AB531" s="36"/>
    </row>
    <row r="532">
      <c r="A532" s="28"/>
      <c r="B532" s="29"/>
      <c r="C532" s="29"/>
      <c r="D532" s="30"/>
      <c r="E532" s="31"/>
      <c r="F532" s="29"/>
      <c r="G532" s="29"/>
      <c r="H532" s="29"/>
      <c r="I532" s="29"/>
      <c r="J532" s="29"/>
      <c r="K532" s="29"/>
      <c r="L532" s="32"/>
      <c r="M532" s="29"/>
      <c r="N532" s="29"/>
      <c r="O532" s="33"/>
      <c r="P532" s="29"/>
      <c r="Q532" s="29"/>
      <c r="R532" s="32"/>
      <c r="S532" s="29"/>
      <c r="T532" s="34"/>
      <c r="U532" s="29"/>
      <c r="V532" s="29"/>
      <c r="W532" s="28"/>
      <c r="X532" s="28"/>
      <c r="Y532" s="35"/>
      <c r="Z532" s="28"/>
      <c r="AA532" s="36"/>
      <c r="AB532" s="36"/>
    </row>
    <row r="533">
      <c r="A533" s="28"/>
      <c r="B533" s="29"/>
      <c r="C533" s="29"/>
      <c r="D533" s="30"/>
      <c r="E533" s="31"/>
      <c r="F533" s="29"/>
      <c r="G533" s="29"/>
      <c r="H533" s="29"/>
      <c r="I533" s="29"/>
      <c r="J533" s="29"/>
      <c r="K533" s="29"/>
      <c r="L533" s="32"/>
      <c r="M533" s="29"/>
      <c r="N533" s="29"/>
      <c r="O533" s="33"/>
      <c r="P533" s="29"/>
      <c r="Q533" s="29"/>
      <c r="R533" s="32"/>
      <c r="S533" s="29"/>
      <c r="T533" s="34"/>
      <c r="U533" s="29"/>
      <c r="V533" s="29"/>
      <c r="W533" s="28"/>
      <c r="X533" s="28"/>
      <c r="Y533" s="35"/>
      <c r="Z533" s="28"/>
      <c r="AA533" s="36"/>
      <c r="AB533" s="36"/>
    </row>
    <row r="534">
      <c r="A534" s="28"/>
      <c r="B534" s="29"/>
      <c r="C534" s="29"/>
      <c r="D534" s="30"/>
      <c r="E534" s="31"/>
      <c r="F534" s="29"/>
      <c r="G534" s="29"/>
      <c r="H534" s="29"/>
      <c r="I534" s="29"/>
      <c r="J534" s="29"/>
      <c r="K534" s="29"/>
      <c r="L534" s="32"/>
      <c r="M534" s="29"/>
      <c r="N534" s="29"/>
      <c r="O534" s="33"/>
      <c r="P534" s="29"/>
      <c r="Q534" s="29"/>
      <c r="R534" s="32"/>
      <c r="S534" s="29"/>
      <c r="T534" s="34"/>
      <c r="U534" s="29"/>
      <c r="V534" s="29"/>
      <c r="W534" s="28"/>
      <c r="X534" s="28"/>
      <c r="Y534" s="35"/>
      <c r="Z534" s="28"/>
      <c r="AA534" s="36"/>
      <c r="AB534" s="36"/>
    </row>
    <row r="535">
      <c r="A535" s="28"/>
      <c r="B535" s="29"/>
      <c r="C535" s="29"/>
      <c r="D535" s="30"/>
      <c r="E535" s="31"/>
      <c r="F535" s="29"/>
      <c r="G535" s="29"/>
      <c r="H535" s="29"/>
      <c r="I535" s="29"/>
      <c r="J535" s="29"/>
      <c r="K535" s="29"/>
      <c r="L535" s="32"/>
      <c r="M535" s="29"/>
      <c r="N535" s="29"/>
      <c r="O535" s="33"/>
      <c r="P535" s="29"/>
      <c r="Q535" s="29"/>
      <c r="R535" s="32"/>
      <c r="S535" s="29"/>
      <c r="T535" s="34"/>
      <c r="U535" s="29"/>
      <c r="V535" s="29"/>
      <c r="W535" s="28"/>
      <c r="X535" s="28"/>
      <c r="Y535" s="35"/>
      <c r="Z535" s="28"/>
      <c r="AA535" s="36"/>
      <c r="AB535" s="36"/>
    </row>
    <row r="536">
      <c r="A536" s="28"/>
      <c r="B536" s="29"/>
      <c r="C536" s="29"/>
      <c r="D536" s="30"/>
      <c r="E536" s="31"/>
      <c r="F536" s="29"/>
      <c r="G536" s="29"/>
      <c r="H536" s="29"/>
      <c r="I536" s="29"/>
      <c r="J536" s="29"/>
      <c r="K536" s="29"/>
      <c r="L536" s="32"/>
      <c r="M536" s="29"/>
      <c r="N536" s="29"/>
      <c r="O536" s="33"/>
      <c r="P536" s="29"/>
      <c r="Q536" s="29"/>
      <c r="R536" s="32"/>
      <c r="S536" s="29"/>
      <c r="T536" s="34"/>
      <c r="U536" s="29"/>
      <c r="V536" s="29"/>
      <c r="W536" s="28"/>
      <c r="X536" s="28"/>
      <c r="Y536" s="35"/>
      <c r="Z536" s="28"/>
      <c r="AA536" s="36"/>
      <c r="AB536" s="36"/>
    </row>
    <row r="537">
      <c r="A537" s="28"/>
      <c r="B537" s="29"/>
      <c r="C537" s="29"/>
      <c r="D537" s="30"/>
      <c r="E537" s="31"/>
      <c r="F537" s="29"/>
      <c r="G537" s="29"/>
      <c r="H537" s="29"/>
      <c r="I537" s="29"/>
      <c r="J537" s="29"/>
      <c r="K537" s="29"/>
      <c r="L537" s="32"/>
      <c r="M537" s="29"/>
      <c r="N537" s="29"/>
      <c r="O537" s="33"/>
      <c r="P537" s="29"/>
      <c r="Q537" s="29"/>
      <c r="R537" s="32"/>
      <c r="S537" s="29"/>
      <c r="T537" s="34"/>
      <c r="U537" s="29"/>
      <c r="V537" s="29"/>
      <c r="W537" s="28"/>
      <c r="X537" s="28"/>
      <c r="Y537" s="35"/>
      <c r="Z537" s="28"/>
      <c r="AA537" s="36"/>
      <c r="AB537" s="36"/>
    </row>
    <row r="538">
      <c r="A538" s="28"/>
      <c r="B538" s="29"/>
      <c r="C538" s="29"/>
      <c r="D538" s="30"/>
      <c r="E538" s="31"/>
      <c r="F538" s="29"/>
      <c r="G538" s="29"/>
      <c r="H538" s="29"/>
      <c r="I538" s="29"/>
      <c r="J538" s="29"/>
      <c r="K538" s="29"/>
      <c r="L538" s="32"/>
      <c r="M538" s="29"/>
      <c r="N538" s="29"/>
      <c r="O538" s="33"/>
      <c r="P538" s="29"/>
      <c r="Q538" s="29"/>
      <c r="R538" s="32"/>
      <c r="S538" s="29"/>
      <c r="T538" s="34"/>
      <c r="U538" s="29"/>
      <c r="V538" s="29"/>
      <c r="W538" s="28"/>
      <c r="X538" s="28"/>
      <c r="Y538" s="35"/>
      <c r="Z538" s="28"/>
      <c r="AA538" s="36"/>
      <c r="AB538" s="36"/>
    </row>
    <row r="539">
      <c r="A539" s="28"/>
      <c r="B539" s="29"/>
      <c r="C539" s="29"/>
      <c r="D539" s="30"/>
      <c r="E539" s="31"/>
      <c r="F539" s="29"/>
      <c r="G539" s="29"/>
      <c r="H539" s="29"/>
      <c r="I539" s="29"/>
      <c r="J539" s="29"/>
      <c r="K539" s="29"/>
      <c r="L539" s="32"/>
      <c r="M539" s="29"/>
      <c r="N539" s="29"/>
      <c r="O539" s="33"/>
      <c r="P539" s="29"/>
      <c r="Q539" s="29"/>
      <c r="R539" s="32"/>
      <c r="S539" s="29"/>
      <c r="T539" s="34"/>
      <c r="U539" s="29"/>
      <c r="V539" s="29"/>
      <c r="W539" s="28"/>
      <c r="X539" s="28"/>
      <c r="Y539" s="35"/>
      <c r="Z539" s="28"/>
      <c r="AA539" s="36"/>
      <c r="AB539" s="36"/>
    </row>
    <row r="540">
      <c r="A540" s="28"/>
      <c r="B540" s="29"/>
      <c r="C540" s="29"/>
      <c r="D540" s="30"/>
      <c r="E540" s="31"/>
      <c r="F540" s="29"/>
      <c r="G540" s="29"/>
      <c r="H540" s="29"/>
      <c r="I540" s="29"/>
      <c r="J540" s="29"/>
      <c r="K540" s="29"/>
      <c r="L540" s="32"/>
      <c r="M540" s="29"/>
      <c r="N540" s="29"/>
      <c r="O540" s="33"/>
      <c r="P540" s="29"/>
      <c r="Q540" s="29"/>
      <c r="R540" s="32"/>
      <c r="S540" s="29"/>
      <c r="T540" s="34"/>
      <c r="U540" s="29"/>
      <c r="V540" s="29"/>
      <c r="W540" s="28"/>
      <c r="X540" s="28"/>
      <c r="Y540" s="35"/>
      <c r="Z540" s="28"/>
      <c r="AA540" s="36"/>
      <c r="AB540" s="36"/>
    </row>
    <row r="541">
      <c r="A541" s="28"/>
      <c r="B541" s="29"/>
      <c r="C541" s="29"/>
      <c r="D541" s="30"/>
      <c r="E541" s="31"/>
      <c r="F541" s="29"/>
      <c r="G541" s="29"/>
      <c r="H541" s="29"/>
      <c r="I541" s="29"/>
      <c r="J541" s="29"/>
      <c r="K541" s="29"/>
      <c r="L541" s="32"/>
      <c r="M541" s="29"/>
      <c r="N541" s="29"/>
      <c r="O541" s="33"/>
      <c r="P541" s="29"/>
      <c r="Q541" s="29"/>
      <c r="R541" s="32"/>
      <c r="S541" s="29"/>
      <c r="T541" s="34"/>
      <c r="U541" s="29"/>
      <c r="V541" s="29"/>
      <c r="W541" s="28"/>
      <c r="X541" s="28"/>
      <c r="Y541" s="35"/>
      <c r="Z541" s="28"/>
      <c r="AA541" s="36"/>
      <c r="AB541" s="36"/>
    </row>
    <row r="542">
      <c r="A542" s="28"/>
      <c r="B542" s="29"/>
      <c r="C542" s="29"/>
      <c r="D542" s="30"/>
      <c r="E542" s="31"/>
      <c r="F542" s="29"/>
      <c r="G542" s="29"/>
      <c r="H542" s="29"/>
      <c r="I542" s="29"/>
      <c r="J542" s="29"/>
      <c r="K542" s="29"/>
      <c r="L542" s="32"/>
      <c r="M542" s="29"/>
      <c r="N542" s="29"/>
      <c r="O542" s="33"/>
      <c r="P542" s="29"/>
      <c r="Q542" s="29"/>
      <c r="R542" s="32"/>
      <c r="S542" s="29"/>
      <c r="T542" s="34"/>
      <c r="U542" s="29"/>
      <c r="V542" s="29"/>
      <c r="W542" s="28"/>
      <c r="X542" s="28"/>
      <c r="Y542" s="35"/>
      <c r="Z542" s="28"/>
      <c r="AA542" s="36"/>
      <c r="AB542" s="36"/>
    </row>
    <row r="543">
      <c r="A543" s="28"/>
      <c r="B543" s="29"/>
      <c r="C543" s="29"/>
      <c r="D543" s="30"/>
      <c r="E543" s="31"/>
      <c r="F543" s="29"/>
      <c r="G543" s="29"/>
      <c r="H543" s="29"/>
      <c r="I543" s="29"/>
      <c r="J543" s="29"/>
      <c r="K543" s="29"/>
      <c r="L543" s="32"/>
      <c r="M543" s="29"/>
      <c r="N543" s="29"/>
      <c r="O543" s="33"/>
      <c r="P543" s="29"/>
      <c r="Q543" s="29"/>
      <c r="R543" s="32"/>
      <c r="S543" s="29"/>
      <c r="T543" s="34"/>
      <c r="U543" s="29"/>
      <c r="V543" s="29"/>
      <c r="W543" s="28"/>
      <c r="X543" s="28"/>
      <c r="Y543" s="35"/>
      <c r="Z543" s="28"/>
      <c r="AA543" s="36"/>
      <c r="AB543" s="36"/>
    </row>
    <row r="544">
      <c r="A544" s="28"/>
      <c r="B544" s="29"/>
      <c r="C544" s="29"/>
      <c r="D544" s="30"/>
      <c r="E544" s="31"/>
      <c r="F544" s="29"/>
      <c r="G544" s="29"/>
      <c r="H544" s="29"/>
      <c r="I544" s="29"/>
      <c r="J544" s="29"/>
      <c r="K544" s="29"/>
      <c r="L544" s="32"/>
      <c r="M544" s="29"/>
      <c r="N544" s="29"/>
      <c r="O544" s="33"/>
      <c r="P544" s="29"/>
      <c r="Q544" s="29"/>
      <c r="R544" s="32"/>
      <c r="S544" s="29"/>
      <c r="T544" s="34"/>
      <c r="U544" s="29"/>
      <c r="V544" s="29"/>
      <c r="W544" s="28"/>
      <c r="X544" s="28"/>
      <c r="Y544" s="35"/>
      <c r="Z544" s="28"/>
      <c r="AA544" s="36"/>
      <c r="AB544" s="36"/>
    </row>
    <row r="545">
      <c r="A545" s="28"/>
      <c r="B545" s="29"/>
      <c r="C545" s="29"/>
      <c r="D545" s="30"/>
      <c r="E545" s="31"/>
      <c r="F545" s="29"/>
      <c r="G545" s="29"/>
      <c r="H545" s="29"/>
      <c r="I545" s="29"/>
      <c r="J545" s="29"/>
      <c r="K545" s="29"/>
      <c r="L545" s="32"/>
      <c r="M545" s="29"/>
      <c r="N545" s="29"/>
      <c r="O545" s="33"/>
      <c r="P545" s="29"/>
      <c r="Q545" s="29"/>
      <c r="R545" s="32"/>
      <c r="S545" s="29"/>
      <c r="T545" s="34"/>
      <c r="U545" s="29"/>
      <c r="V545" s="29"/>
      <c r="W545" s="28"/>
      <c r="X545" s="28"/>
      <c r="Y545" s="35"/>
      <c r="Z545" s="28"/>
      <c r="AA545" s="36"/>
      <c r="AB545" s="36"/>
    </row>
    <row r="546">
      <c r="A546" s="28"/>
      <c r="B546" s="29"/>
      <c r="C546" s="29"/>
      <c r="D546" s="30"/>
      <c r="E546" s="31"/>
      <c r="F546" s="29"/>
      <c r="G546" s="29"/>
      <c r="H546" s="29"/>
      <c r="I546" s="29"/>
      <c r="J546" s="29"/>
      <c r="K546" s="29"/>
      <c r="L546" s="32"/>
      <c r="M546" s="29"/>
      <c r="N546" s="29"/>
      <c r="O546" s="33"/>
      <c r="P546" s="29"/>
      <c r="Q546" s="29"/>
      <c r="R546" s="32"/>
      <c r="S546" s="29"/>
      <c r="T546" s="34"/>
      <c r="U546" s="29"/>
      <c r="V546" s="29"/>
      <c r="W546" s="28"/>
      <c r="X546" s="28"/>
      <c r="Y546" s="35"/>
      <c r="Z546" s="28"/>
      <c r="AA546" s="36"/>
      <c r="AB546" s="36"/>
    </row>
    <row r="547">
      <c r="A547" s="28"/>
      <c r="B547" s="29"/>
      <c r="C547" s="29"/>
      <c r="D547" s="30"/>
      <c r="E547" s="31"/>
      <c r="F547" s="29"/>
      <c r="G547" s="29"/>
      <c r="H547" s="29"/>
      <c r="I547" s="29"/>
      <c r="J547" s="29"/>
      <c r="K547" s="29"/>
      <c r="L547" s="32"/>
      <c r="M547" s="29"/>
      <c r="N547" s="29"/>
      <c r="O547" s="33"/>
      <c r="P547" s="29"/>
      <c r="Q547" s="29"/>
      <c r="R547" s="32"/>
      <c r="S547" s="29"/>
      <c r="T547" s="34"/>
      <c r="U547" s="29"/>
      <c r="V547" s="29"/>
      <c r="W547" s="28"/>
      <c r="X547" s="28"/>
      <c r="Y547" s="35"/>
      <c r="Z547" s="28"/>
      <c r="AA547" s="36"/>
      <c r="AB547" s="36"/>
    </row>
    <row r="548">
      <c r="A548" s="28"/>
      <c r="B548" s="29"/>
      <c r="C548" s="29"/>
      <c r="D548" s="30"/>
      <c r="E548" s="31"/>
      <c r="F548" s="29"/>
      <c r="G548" s="29"/>
      <c r="H548" s="29"/>
      <c r="I548" s="29"/>
      <c r="J548" s="29"/>
      <c r="K548" s="29"/>
      <c r="L548" s="32"/>
      <c r="M548" s="29"/>
      <c r="N548" s="29"/>
      <c r="O548" s="33"/>
      <c r="P548" s="29"/>
      <c r="Q548" s="29"/>
      <c r="R548" s="32"/>
      <c r="S548" s="29"/>
      <c r="T548" s="34"/>
      <c r="U548" s="29"/>
      <c r="V548" s="29"/>
      <c r="W548" s="28"/>
      <c r="X548" s="28"/>
      <c r="Y548" s="35"/>
      <c r="Z548" s="28"/>
      <c r="AA548" s="36"/>
      <c r="AB548" s="36"/>
    </row>
    <row r="549">
      <c r="A549" s="28"/>
      <c r="B549" s="29"/>
      <c r="C549" s="29"/>
      <c r="D549" s="30"/>
      <c r="E549" s="31"/>
      <c r="F549" s="29"/>
      <c r="G549" s="29"/>
      <c r="H549" s="29"/>
      <c r="I549" s="29"/>
      <c r="J549" s="29"/>
      <c r="K549" s="29"/>
      <c r="L549" s="32"/>
      <c r="M549" s="29"/>
      <c r="N549" s="29"/>
      <c r="O549" s="33"/>
      <c r="P549" s="29"/>
      <c r="Q549" s="29"/>
      <c r="R549" s="32"/>
      <c r="S549" s="29"/>
      <c r="T549" s="34"/>
      <c r="U549" s="29"/>
      <c r="V549" s="29"/>
      <c r="W549" s="28"/>
      <c r="X549" s="28"/>
      <c r="Y549" s="35"/>
      <c r="Z549" s="28"/>
      <c r="AA549" s="36"/>
      <c r="AB549" s="36"/>
    </row>
    <row r="550">
      <c r="A550" s="28"/>
      <c r="B550" s="29"/>
      <c r="C550" s="29"/>
      <c r="D550" s="30"/>
      <c r="E550" s="31"/>
      <c r="F550" s="29"/>
      <c r="G550" s="29"/>
      <c r="H550" s="29"/>
      <c r="I550" s="29"/>
      <c r="J550" s="29"/>
      <c r="K550" s="29"/>
      <c r="L550" s="32"/>
      <c r="M550" s="29"/>
      <c r="N550" s="29"/>
      <c r="O550" s="33"/>
      <c r="P550" s="29"/>
      <c r="Q550" s="29"/>
      <c r="R550" s="32"/>
      <c r="S550" s="29"/>
      <c r="T550" s="34"/>
      <c r="U550" s="29"/>
      <c r="V550" s="29"/>
      <c r="W550" s="28"/>
      <c r="X550" s="28"/>
      <c r="Y550" s="35"/>
      <c r="Z550" s="28"/>
      <c r="AA550" s="36"/>
      <c r="AB550" s="36"/>
    </row>
    <row r="551">
      <c r="A551" s="28"/>
      <c r="B551" s="29"/>
      <c r="C551" s="29"/>
      <c r="D551" s="30"/>
      <c r="E551" s="31"/>
      <c r="F551" s="29"/>
      <c r="G551" s="29"/>
      <c r="H551" s="29"/>
      <c r="I551" s="29"/>
      <c r="J551" s="29"/>
      <c r="K551" s="29"/>
      <c r="L551" s="32"/>
      <c r="M551" s="29"/>
      <c r="N551" s="29"/>
      <c r="O551" s="33"/>
      <c r="P551" s="29"/>
      <c r="Q551" s="29"/>
      <c r="R551" s="32"/>
      <c r="S551" s="29"/>
      <c r="T551" s="34"/>
      <c r="U551" s="29"/>
      <c r="V551" s="29"/>
      <c r="W551" s="28"/>
      <c r="X551" s="28"/>
      <c r="Y551" s="35"/>
      <c r="Z551" s="28"/>
      <c r="AA551" s="36"/>
      <c r="AB551" s="36"/>
    </row>
    <row r="552">
      <c r="A552" s="28"/>
      <c r="B552" s="29"/>
      <c r="C552" s="29"/>
      <c r="D552" s="30"/>
      <c r="E552" s="31"/>
      <c r="F552" s="29"/>
      <c r="G552" s="29"/>
      <c r="H552" s="29"/>
      <c r="I552" s="29"/>
      <c r="J552" s="29"/>
      <c r="K552" s="29"/>
      <c r="L552" s="32"/>
      <c r="M552" s="29"/>
      <c r="N552" s="29"/>
      <c r="O552" s="33"/>
      <c r="P552" s="29"/>
      <c r="Q552" s="29"/>
      <c r="R552" s="32"/>
      <c r="S552" s="29"/>
      <c r="T552" s="34"/>
      <c r="U552" s="29"/>
      <c r="V552" s="29"/>
      <c r="W552" s="28"/>
      <c r="X552" s="28"/>
      <c r="Y552" s="35"/>
      <c r="Z552" s="28"/>
      <c r="AA552" s="36"/>
      <c r="AB552" s="36"/>
    </row>
    <row r="553">
      <c r="A553" s="28"/>
      <c r="B553" s="29"/>
      <c r="C553" s="29"/>
      <c r="D553" s="30"/>
      <c r="E553" s="31"/>
      <c r="F553" s="29"/>
      <c r="G553" s="29"/>
      <c r="H553" s="29"/>
      <c r="I553" s="29"/>
      <c r="J553" s="29"/>
      <c r="K553" s="29"/>
      <c r="L553" s="32"/>
      <c r="M553" s="29"/>
      <c r="N553" s="29"/>
      <c r="O553" s="33"/>
      <c r="P553" s="29"/>
      <c r="Q553" s="29"/>
      <c r="R553" s="32"/>
      <c r="S553" s="29"/>
      <c r="T553" s="34"/>
      <c r="U553" s="29"/>
      <c r="V553" s="29"/>
      <c r="W553" s="28"/>
      <c r="X553" s="28"/>
      <c r="Y553" s="35"/>
      <c r="Z553" s="28"/>
      <c r="AA553" s="36"/>
      <c r="AB553" s="36"/>
    </row>
    <row r="554">
      <c r="A554" s="28"/>
      <c r="B554" s="29"/>
      <c r="C554" s="29"/>
      <c r="D554" s="30"/>
      <c r="E554" s="31"/>
      <c r="F554" s="29"/>
      <c r="G554" s="29"/>
      <c r="H554" s="29"/>
      <c r="I554" s="29"/>
      <c r="J554" s="29"/>
      <c r="K554" s="29"/>
      <c r="L554" s="32"/>
      <c r="M554" s="29"/>
      <c r="N554" s="29"/>
      <c r="O554" s="33"/>
      <c r="P554" s="29"/>
      <c r="Q554" s="29"/>
      <c r="R554" s="32"/>
      <c r="S554" s="29"/>
      <c r="T554" s="34"/>
      <c r="U554" s="29"/>
      <c r="V554" s="29"/>
      <c r="W554" s="28"/>
      <c r="X554" s="28"/>
      <c r="Y554" s="35"/>
      <c r="Z554" s="28"/>
      <c r="AA554" s="36"/>
      <c r="AB554" s="36"/>
    </row>
    <row r="555">
      <c r="A555" s="28"/>
      <c r="B555" s="29"/>
      <c r="C555" s="29"/>
      <c r="D555" s="30"/>
      <c r="E555" s="31"/>
      <c r="F555" s="29"/>
      <c r="G555" s="29"/>
      <c r="H555" s="29"/>
      <c r="I555" s="29"/>
      <c r="J555" s="29"/>
      <c r="K555" s="29"/>
      <c r="L555" s="32"/>
      <c r="M555" s="29"/>
      <c r="N555" s="29"/>
      <c r="O555" s="33"/>
      <c r="P555" s="29"/>
      <c r="Q555" s="29"/>
      <c r="R555" s="32"/>
      <c r="S555" s="29"/>
      <c r="T555" s="34"/>
      <c r="U555" s="29"/>
      <c r="V555" s="29"/>
      <c r="W555" s="28"/>
      <c r="X555" s="28"/>
      <c r="Y555" s="35"/>
      <c r="Z555" s="28"/>
      <c r="AA555" s="36"/>
      <c r="AB555" s="36"/>
    </row>
    <row r="556">
      <c r="A556" s="28"/>
      <c r="B556" s="29"/>
      <c r="C556" s="29"/>
      <c r="D556" s="30"/>
      <c r="E556" s="31"/>
      <c r="F556" s="29"/>
      <c r="G556" s="29"/>
      <c r="H556" s="29"/>
      <c r="I556" s="29"/>
      <c r="J556" s="29"/>
      <c r="K556" s="29"/>
      <c r="L556" s="32"/>
      <c r="M556" s="29"/>
      <c r="N556" s="29"/>
      <c r="O556" s="33"/>
      <c r="P556" s="29"/>
      <c r="Q556" s="29"/>
      <c r="R556" s="32"/>
      <c r="S556" s="29"/>
      <c r="T556" s="34"/>
      <c r="U556" s="29"/>
      <c r="V556" s="29"/>
      <c r="W556" s="28"/>
      <c r="X556" s="28"/>
      <c r="Y556" s="35"/>
      <c r="Z556" s="28"/>
      <c r="AA556" s="36"/>
      <c r="AB556" s="36"/>
    </row>
    <row r="557">
      <c r="A557" s="28"/>
      <c r="B557" s="29"/>
      <c r="C557" s="29"/>
      <c r="D557" s="30"/>
      <c r="E557" s="31"/>
      <c r="F557" s="29"/>
      <c r="G557" s="29"/>
      <c r="H557" s="29"/>
      <c r="I557" s="29"/>
      <c r="J557" s="29"/>
      <c r="K557" s="29"/>
      <c r="L557" s="32"/>
      <c r="M557" s="29"/>
      <c r="N557" s="29"/>
      <c r="O557" s="33"/>
      <c r="P557" s="29"/>
      <c r="Q557" s="29"/>
      <c r="R557" s="32"/>
      <c r="S557" s="29"/>
      <c r="T557" s="34"/>
      <c r="U557" s="29"/>
      <c r="V557" s="29"/>
      <c r="W557" s="28"/>
      <c r="X557" s="28"/>
      <c r="Y557" s="35"/>
      <c r="Z557" s="28"/>
      <c r="AA557" s="36"/>
      <c r="AB557" s="36"/>
    </row>
    <row r="558">
      <c r="A558" s="28"/>
      <c r="B558" s="29"/>
      <c r="C558" s="29"/>
      <c r="D558" s="30"/>
      <c r="E558" s="31"/>
      <c r="F558" s="29"/>
      <c r="G558" s="29"/>
      <c r="H558" s="29"/>
      <c r="I558" s="29"/>
      <c r="J558" s="29"/>
      <c r="K558" s="29"/>
      <c r="L558" s="32"/>
      <c r="M558" s="29"/>
      <c r="N558" s="29"/>
      <c r="O558" s="33"/>
      <c r="P558" s="29"/>
      <c r="Q558" s="29"/>
      <c r="R558" s="32"/>
      <c r="S558" s="29"/>
      <c r="T558" s="34"/>
      <c r="U558" s="29"/>
      <c r="V558" s="29"/>
      <c r="W558" s="28"/>
      <c r="X558" s="28"/>
      <c r="Y558" s="35"/>
      <c r="Z558" s="28"/>
      <c r="AA558" s="36"/>
      <c r="AB558" s="36"/>
    </row>
    <row r="559">
      <c r="A559" s="28"/>
      <c r="B559" s="29"/>
      <c r="C559" s="29"/>
      <c r="D559" s="30"/>
      <c r="E559" s="31"/>
      <c r="F559" s="29"/>
      <c r="G559" s="29"/>
      <c r="H559" s="29"/>
      <c r="I559" s="29"/>
      <c r="J559" s="29"/>
      <c r="K559" s="29"/>
      <c r="L559" s="32"/>
      <c r="M559" s="29"/>
      <c r="N559" s="29"/>
      <c r="O559" s="33"/>
      <c r="P559" s="29"/>
      <c r="Q559" s="29"/>
      <c r="R559" s="32"/>
      <c r="S559" s="29"/>
      <c r="T559" s="34"/>
      <c r="U559" s="29"/>
      <c r="V559" s="29"/>
      <c r="W559" s="28"/>
      <c r="X559" s="28"/>
      <c r="Y559" s="35"/>
      <c r="Z559" s="28"/>
      <c r="AA559" s="36"/>
      <c r="AB559" s="36"/>
    </row>
    <row r="560">
      <c r="A560" s="28"/>
      <c r="B560" s="29"/>
      <c r="C560" s="29"/>
      <c r="D560" s="30"/>
      <c r="E560" s="31"/>
      <c r="F560" s="29"/>
      <c r="G560" s="29"/>
      <c r="H560" s="29"/>
      <c r="I560" s="29"/>
      <c r="J560" s="29"/>
      <c r="K560" s="29"/>
      <c r="L560" s="32"/>
      <c r="M560" s="29"/>
      <c r="N560" s="29"/>
      <c r="O560" s="33"/>
      <c r="P560" s="29"/>
      <c r="Q560" s="29"/>
      <c r="R560" s="32"/>
      <c r="S560" s="29"/>
      <c r="T560" s="34"/>
      <c r="U560" s="29"/>
      <c r="V560" s="29"/>
      <c r="W560" s="28"/>
      <c r="X560" s="28"/>
      <c r="Y560" s="35"/>
      <c r="Z560" s="28"/>
      <c r="AA560" s="36"/>
      <c r="AB560" s="36"/>
    </row>
    <row r="561">
      <c r="A561" s="28"/>
      <c r="B561" s="29"/>
      <c r="C561" s="29"/>
      <c r="D561" s="30"/>
      <c r="E561" s="31"/>
      <c r="F561" s="29"/>
      <c r="G561" s="29"/>
      <c r="H561" s="29"/>
      <c r="I561" s="29"/>
      <c r="J561" s="29"/>
      <c r="K561" s="29"/>
      <c r="L561" s="32"/>
      <c r="M561" s="29"/>
      <c r="N561" s="29"/>
      <c r="O561" s="33"/>
      <c r="P561" s="29"/>
      <c r="Q561" s="29"/>
      <c r="R561" s="32"/>
      <c r="S561" s="29"/>
      <c r="T561" s="34"/>
      <c r="U561" s="29"/>
      <c r="V561" s="29"/>
      <c r="W561" s="28"/>
      <c r="X561" s="28"/>
      <c r="Y561" s="35"/>
      <c r="Z561" s="28"/>
      <c r="AA561" s="36"/>
      <c r="AB561" s="36"/>
    </row>
    <row r="562">
      <c r="A562" s="28"/>
      <c r="B562" s="29"/>
      <c r="C562" s="29"/>
      <c r="D562" s="30"/>
      <c r="E562" s="31"/>
      <c r="F562" s="29"/>
      <c r="G562" s="29"/>
      <c r="H562" s="29"/>
      <c r="I562" s="29"/>
      <c r="J562" s="29"/>
      <c r="K562" s="29"/>
      <c r="L562" s="32"/>
      <c r="M562" s="29"/>
      <c r="N562" s="29"/>
      <c r="O562" s="33"/>
      <c r="P562" s="29"/>
      <c r="Q562" s="29"/>
      <c r="R562" s="32"/>
      <c r="S562" s="29"/>
      <c r="T562" s="34"/>
      <c r="U562" s="29"/>
      <c r="V562" s="29"/>
      <c r="W562" s="28"/>
      <c r="X562" s="28"/>
      <c r="Y562" s="35"/>
      <c r="Z562" s="28"/>
      <c r="AA562" s="36"/>
      <c r="AB562" s="36"/>
    </row>
    <row r="563">
      <c r="A563" s="28"/>
      <c r="B563" s="29"/>
      <c r="C563" s="29"/>
      <c r="D563" s="30"/>
      <c r="E563" s="31"/>
      <c r="F563" s="29"/>
      <c r="G563" s="29"/>
      <c r="H563" s="29"/>
      <c r="I563" s="29"/>
      <c r="J563" s="29"/>
      <c r="K563" s="29"/>
      <c r="L563" s="32"/>
      <c r="M563" s="29"/>
      <c r="N563" s="29"/>
      <c r="O563" s="33"/>
      <c r="P563" s="29"/>
      <c r="Q563" s="29"/>
      <c r="R563" s="32"/>
      <c r="S563" s="29"/>
      <c r="T563" s="34"/>
      <c r="U563" s="29"/>
      <c r="V563" s="29"/>
      <c r="W563" s="28"/>
      <c r="X563" s="28"/>
      <c r="Y563" s="35"/>
      <c r="Z563" s="28"/>
      <c r="AA563" s="36"/>
      <c r="AB563" s="36"/>
    </row>
    <row r="564">
      <c r="A564" s="28"/>
      <c r="B564" s="29"/>
      <c r="C564" s="29"/>
      <c r="D564" s="30"/>
      <c r="E564" s="31"/>
      <c r="F564" s="29"/>
      <c r="G564" s="29"/>
      <c r="H564" s="29"/>
      <c r="I564" s="29"/>
      <c r="J564" s="29"/>
      <c r="K564" s="29"/>
      <c r="L564" s="32"/>
      <c r="M564" s="29"/>
      <c r="N564" s="29"/>
      <c r="O564" s="33"/>
      <c r="P564" s="29"/>
      <c r="Q564" s="29"/>
      <c r="R564" s="32"/>
      <c r="S564" s="29"/>
      <c r="T564" s="34"/>
      <c r="U564" s="29"/>
      <c r="V564" s="29"/>
      <c r="W564" s="28"/>
      <c r="X564" s="28"/>
      <c r="Y564" s="35"/>
      <c r="Z564" s="28"/>
      <c r="AA564" s="36"/>
      <c r="AB564" s="36"/>
    </row>
    <row r="565">
      <c r="A565" s="28"/>
      <c r="B565" s="29"/>
      <c r="C565" s="29"/>
      <c r="D565" s="30"/>
      <c r="E565" s="31"/>
      <c r="F565" s="29"/>
      <c r="G565" s="29"/>
      <c r="H565" s="29"/>
      <c r="I565" s="29"/>
      <c r="J565" s="29"/>
      <c r="K565" s="29"/>
      <c r="L565" s="32"/>
      <c r="M565" s="29"/>
      <c r="N565" s="29"/>
      <c r="O565" s="33"/>
      <c r="P565" s="29"/>
      <c r="Q565" s="29"/>
      <c r="R565" s="32"/>
      <c r="S565" s="29"/>
      <c r="T565" s="34"/>
      <c r="U565" s="29"/>
      <c r="V565" s="29"/>
      <c r="W565" s="28"/>
      <c r="X565" s="28"/>
      <c r="Y565" s="35"/>
      <c r="Z565" s="28"/>
      <c r="AA565" s="36"/>
      <c r="AB565" s="36"/>
    </row>
    <row r="566">
      <c r="A566" s="28"/>
      <c r="B566" s="29"/>
      <c r="C566" s="29"/>
      <c r="D566" s="30"/>
      <c r="E566" s="31"/>
      <c r="F566" s="29"/>
      <c r="G566" s="29"/>
      <c r="H566" s="29"/>
      <c r="I566" s="29"/>
      <c r="J566" s="29"/>
      <c r="K566" s="29"/>
      <c r="L566" s="32"/>
      <c r="M566" s="29"/>
      <c r="N566" s="29"/>
      <c r="O566" s="33"/>
      <c r="P566" s="29"/>
      <c r="Q566" s="29"/>
      <c r="R566" s="32"/>
      <c r="S566" s="29"/>
      <c r="T566" s="34"/>
      <c r="U566" s="29"/>
      <c r="V566" s="29"/>
      <c r="W566" s="28"/>
      <c r="X566" s="28"/>
      <c r="Y566" s="35"/>
      <c r="Z566" s="28"/>
      <c r="AA566" s="36"/>
      <c r="AB566" s="36"/>
    </row>
    <row r="567">
      <c r="A567" s="28"/>
      <c r="B567" s="29"/>
      <c r="C567" s="29"/>
      <c r="D567" s="30"/>
      <c r="E567" s="31"/>
      <c r="F567" s="29"/>
      <c r="G567" s="29"/>
      <c r="H567" s="29"/>
      <c r="I567" s="29"/>
      <c r="J567" s="29"/>
      <c r="K567" s="29"/>
      <c r="L567" s="32"/>
      <c r="M567" s="29"/>
      <c r="N567" s="29"/>
      <c r="O567" s="33"/>
      <c r="P567" s="29"/>
      <c r="Q567" s="29"/>
      <c r="R567" s="32"/>
      <c r="S567" s="29"/>
      <c r="T567" s="34"/>
      <c r="U567" s="29"/>
      <c r="V567" s="29"/>
      <c r="W567" s="28"/>
      <c r="X567" s="28"/>
      <c r="Y567" s="35"/>
      <c r="Z567" s="28"/>
      <c r="AA567" s="36"/>
      <c r="AB567" s="36"/>
    </row>
    <row r="568">
      <c r="A568" s="28"/>
      <c r="B568" s="29"/>
      <c r="C568" s="29"/>
      <c r="D568" s="30"/>
      <c r="E568" s="31"/>
      <c r="F568" s="29"/>
      <c r="G568" s="29"/>
      <c r="H568" s="29"/>
      <c r="I568" s="29"/>
      <c r="J568" s="29"/>
      <c r="K568" s="29"/>
      <c r="L568" s="32"/>
      <c r="M568" s="29"/>
      <c r="N568" s="29"/>
      <c r="O568" s="33"/>
      <c r="P568" s="29"/>
      <c r="Q568" s="29"/>
      <c r="R568" s="32"/>
      <c r="S568" s="29"/>
      <c r="T568" s="34"/>
      <c r="U568" s="29"/>
      <c r="V568" s="29"/>
      <c r="W568" s="28"/>
      <c r="X568" s="28"/>
      <c r="Y568" s="35"/>
      <c r="Z568" s="28"/>
      <c r="AA568" s="36"/>
      <c r="AB568" s="36"/>
    </row>
    <row r="569">
      <c r="A569" s="28"/>
      <c r="B569" s="29"/>
      <c r="C569" s="29"/>
      <c r="D569" s="30"/>
      <c r="E569" s="31"/>
      <c r="F569" s="29"/>
      <c r="G569" s="29"/>
      <c r="H569" s="29"/>
      <c r="I569" s="29"/>
      <c r="J569" s="29"/>
      <c r="K569" s="29"/>
      <c r="L569" s="32"/>
      <c r="M569" s="29"/>
      <c r="N569" s="29"/>
      <c r="O569" s="33"/>
      <c r="P569" s="29"/>
      <c r="Q569" s="29"/>
      <c r="R569" s="32"/>
      <c r="S569" s="29"/>
      <c r="T569" s="34"/>
      <c r="U569" s="29"/>
      <c r="V569" s="29"/>
      <c r="W569" s="28"/>
      <c r="X569" s="28"/>
      <c r="Y569" s="35"/>
      <c r="Z569" s="28"/>
      <c r="AA569" s="36"/>
      <c r="AB569" s="36"/>
    </row>
    <row r="570">
      <c r="A570" s="28"/>
      <c r="B570" s="29"/>
      <c r="C570" s="29"/>
      <c r="D570" s="30"/>
      <c r="E570" s="31"/>
      <c r="F570" s="29"/>
      <c r="G570" s="29"/>
      <c r="H570" s="29"/>
      <c r="I570" s="29"/>
      <c r="J570" s="29"/>
      <c r="K570" s="29"/>
      <c r="L570" s="32"/>
      <c r="M570" s="29"/>
      <c r="N570" s="29"/>
      <c r="O570" s="33"/>
      <c r="P570" s="29"/>
      <c r="Q570" s="29"/>
      <c r="R570" s="32"/>
      <c r="S570" s="29"/>
      <c r="T570" s="34"/>
      <c r="U570" s="29"/>
      <c r="V570" s="29"/>
      <c r="W570" s="28"/>
      <c r="X570" s="28"/>
      <c r="Y570" s="35"/>
      <c r="Z570" s="28"/>
      <c r="AA570" s="36"/>
      <c r="AB570" s="36"/>
    </row>
    <row r="571">
      <c r="A571" s="28"/>
      <c r="B571" s="29"/>
      <c r="C571" s="29"/>
      <c r="D571" s="30"/>
      <c r="E571" s="31"/>
      <c r="F571" s="29"/>
      <c r="G571" s="29"/>
      <c r="H571" s="29"/>
      <c r="I571" s="29"/>
      <c r="J571" s="29"/>
      <c r="K571" s="29"/>
      <c r="L571" s="32"/>
      <c r="M571" s="29"/>
      <c r="N571" s="29"/>
      <c r="O571" s="33"/>
      <c r="P571" s="29"/>
      <c r="Q571" s="29"/>
      <c r="R571" s="32"/>
      <c r="S571" s="29"/>
      <c r="T571" s="34"/>
      <c r="U571" s="29"/>
      <c r="V571" s="29"/>
      <c r="W571" s="28"/>
      <c r="X571" s="28"/>
      <c r="Y571" s="35"/>
      <c r="Z571" s="28"/>
      <c r="AA571" s="36"/>
      <c r="AB571" s="36"/>
    </row>
    <row r="572">
      <c r="A572" s="28"/>
      <c r="B572" s="29"/>
      <c r="C572" s="29"/>
      <c r="D572" s="30"/>
      <c r="E572" s="31"/>
      <c r="F572" s="29"/>
      <c r="G572" s="29"/>
      <c r="H572" s="29"/>
      <c r="I572" s="29"/>
      <c r="J572" s="29"/>
      <c r="K572" s="29"/>
      <c r="L572" s="32"/>
      <c r="M572" s="29"/>
      <c r="N572" s="29"/>
      <c r="O572" s="33"/>
      <c r="P572" s="29"/>
      <c r="Q572" s="29"/>
      <c r="R572" s="32"/>
      <c r="S572" s="29"/>
      <c r="T572" s="34"/>
      <c r="U572" s="29"/>
      <c r="V572" s="29"/>
      <c r="W572" s="28"/>
      <c r="X572" s="28"/>
      <c r="Y572" s="35"/>
      <c r="Z572" s="28"/>
      <c r="AA572" s="36"/>
      <c r="AB572" s="36"/>
    </row>
    <row r="573">
      <c r="A573" s="28"/>
      <c r="B573" s="29"/>
      <c r="C573" s="29"/>
      <c r="D573" s="30"/>
      <c r="E573" s="31"/>
      <c r="F573" s="29"/>
      <c r="G573" s="29"/>
      <c r="H573" s="29"/>
      <c r="I573" s="29"/>
      <c r="J573" s="29"/>
      <c r="K573" s="29"/>
      <c r="L573" s="32"/>
      <c r="M573" s="29"/>
      <c r="N573" s="29"/>
      <c r="O573" s="33"/>
      <c r="P573" s="29"/>
      <c r="Q573" s="29"/>
      <c r="R573" s="32"/>
      <c r="S573" s="29"/>
      <c r="T573" s="34"/>
      <c r="U573" s="29"/>
      <c r="V573" s="29"/>
      <c r="W573" s="28"/>
      <c r="X573" s="28"/>
      <c r="Y573" s="35"/>
      <c r="Z573" s="28"/>
      <c r="AA573" s="36"/>
      <c r="AB573" s="36"/>
    </row>
    <row r="574">
      <c r="A574" s="28"/>
      <c r="B574" s="29"/>
      <c r="C574" s="29"/>
      <c r="D574" s="30"/>
      <c r="E574" s="31"/>
      <c r="F574" s="29"/>
      <c r="G574" s="29"/>
      <c r="H574" s="29"/>
      <c r="I574" s="29"/>
      <c r="J574" s="29"/>
      <c r="K574" s="29"/>
      <c r="L574" s="32"/>
      <c r="M574" s="29"/>
      <c r="N574" s="29"/>
      <c r="O574" s="33"/>
      <c r="P574" s="29"/>
      <c r="Q574" s="29"/>
      <c r="R574" s="32"/>
      <c r="S574" s="29"/>
      <c r="T574" s="34"/>
      <c r="U574" s="29"/>
      <c r="V574" s="29"/>
      <c r="W574" s="28"/>
      <c r="X574" s="28"/>
      <c r="Y574" s="35"/>
      <c r="Z574" s="28"/>
      <c r="AA574" s="36"/>
      <c r="AB574" s="36"/>
    </row>
    <row r="575">
      <c r="A575" s="28"/>
      <c r="B575" s="29"/>
      <c r="C575" s="29"/>
      <c r="D575" s="30"/>
      <c r="E575" s="31"/>
      <c r="F575" s="29"/>
      <c r="G575" s="29"/>
      <c r="H575" s="29"/>
      <c r="I575" s="29"/>
      <c r="J575" s="29"/>
      <c r="K575" s="29"/>
      <c r="L575" s="32"/>
      <c r="M575" s="29"/>
      <c r="N575" s="29"/>
      <c r="O575" s="33"/>
      <c r="P575" s="29"/>
      <c r="Q575" s="29"/>
      <c r="R575" s="32"/>
      <c r="S575" s="29"/>
      <c r="T575" s="34"/>
      <c r="U575" s="29"/>
      <c r="V575" s="29"/>
      <c r="W575" s="28"/>
      <c r="X575" s="28"/>
      <c r="Y575" s="35"/>
      <c r="Z575" s="28"/>
      <c r="AA575" s="36"/>
      <c r="AB575" s="36"/>
    </row>
    <row r="576">
      <c r="A576" s="28"/>
      <c r="B576" s="29"/>
      <c r="C576" s="29"/>
      <c r="D576" s="30"/>
      <c r="E576" s="31"/>
      <c r="F576" s="29"/>
      <c r="G576" s="29"/>
      <c r="H576" s="29"/>
      <c r="I576" s="29"/>
      <c r="J576" s="29"/>
      <c r="K576" s="29"/>
      <c r="L576" s="32"/>
      <c r="M576" s="29"/>
      <c r="N576" s="29"/>
      <c r="O576" s="33"/>
      <c r="P576" s="29"/>
      <c r="Q576" s="29"/>
      <c r="R576" s="32"/>
      <c r="S576" s="29"/>
      <c r="T576" s="34"/>
      <c r="U576" s="29"/>
      <c r="V576" s="29"/>
      <c r="W576" s="28"/>
      <c r="X576" s="28"/>
      <c r="Y576" s="35"/>
      <c r="Z576" s="28"/>
      <c r="AA576" s="36"/>
      <c r="AB576" s="36"/>
    </row>
    <row r="577">
      <c r="A577" s="28"/>
      <c r="B577" s="29"/>
      <c r="C577" s="29"/>
      <c r="D577" s="30"/>
      <c r="E577" s="31"/>
      <c r="F577" s="29"/>
      <c r="G577" s="29"/>
      <c r="H577" s="29"/>
      <c r="I577" s="29"/>
      <c r="J577" s="29"/>
      <c r="K577" s="29"/>
      <c r="L577" s="32"/>
      <c r="M577" s="29"/>
      <c r="N577" s="29"/>
      <c r="O577" s="33"/>
      <c r="P577" s="29"/>
      <c r="Q577" s="29"/>
      <c r="R577" s="32"/>
      <c r="S577" s="29"/>
      <c r="T577" s="34"/>
      <c r="U577" s="29"/>
      <c r="V577" s="29"/>
      <c r="W577" s="28"/>
      <c r="X577" s="28"/>
      <c r="Y577" s="35"/>
      <c r="Z577" s="28"/>
      <c r="AA577" s="36"/>
      <c r="AB577" s="36"/>
    </row>
    <row r="578">
      <c r="A578" s="28"/>
      <c r="B578" s="29"/>
      <c r="C578" s="29"/>
      <c r="D578" s="30"/>
      <c r="E578" s="31"/>
      <c r="F578" s="29"/>
      <c r="G578" s="29"/>
      <c r="H578" s="29"/>
      <c r="I578" s="29"/>
      <c r="J578" s="29"/>
      <c r="K578" s="29"/>
      <c r="L578" s="32"/>
      <c r="M578" s="29"/>
      <c r="N578" s="29"/>
      <c r="O578" s="33"/>
      <c r="P578" s="29"/>
      <c r="Q578" s="29"/>
      <c r="R578" s="32"/>
      <c r="S578" s="29"/>
      <c r="T578" s="34"/>
      <c r="U578" s="29"/>
      <c r="V578" s="29"/>
      <c r="W578" s="28"/>
      <c r="X578" s="28"/>
      <c r="Y578" s="35"/>
      <c r="Z578" s="28"/>
      <c r="AA578" s="36"/>
      <c r="AB578" s="36"/>
    </row>
    <row r="579">
      <c r="A579" s="28"/>
      <c r="B579" s="29"/>
      <c r="C579" s="29"/>
      <c r="D579" s="30"/>
      <c r="E579" s="31"/>
      <c r="F579" s="29"/>
      <c r="G579" s="29"/>
      <c r="H579" s="29"/>
      <c r="I579" s="29"/>
      <c r="J579" s="29"/>
      <c r="K579" s="29"/>
      <c r="L579" s="32"/>
      <c r="M579" s="29"/>
      <c r="N579" s="29"/>
      <c r="O579" s="33"/>
      <c r="P579" s="29"/>
      <c r="Q579" s="29"/>
      <c r="R579" s="32"/>
      <c r="S579" s="29"/>
      <c r="T579" s="34"/>
      <c r="U579" s="29"/>
      <c r="V579" s="29"/>
      <c r="W579" s="28"/>
      <c r="X579" s="28"/>
      <c r="Y579" s="35"/>
      <c r="Z579" s="28"/>
      <c r="AA579" s="36"/>
      <c r="AB579" s="36"/>
    </row>
    <row r="580">
      <c r="A580" s="28"/>
      <c r="B580" s="29"/>
      <c r="C580" s="29"/>
      <c r="D580" s="30"/>
      <c r="E580" s="31"/>
      <c r="F580" s="29"/>
      <c r="G580" s="29"/>
      <c r="H580" s="29"/>
      <c r="I580" s="29"/>
      <c r="J580" s="29"/>
      <c r="K580" s="29"/>
      <c r="L580" s="32"/>
      <c r="M580" s="29"/>
      <c r="N580" s="29"/>
      <c r="O580" s="33"/>
      <c r="P580" s="29"/>
      <c r="Q580" s="29"/>
      <c r="R580" s="32"/>
      <c r="S580" s="29"/>
      <c r="T580" s="34"/>
      <c r="U580" s="29"/>
      <c r="V580" s="29"/>
      <c r="W580" s="28"/>
      <c r="X580" s="28"/>
      <c r="Y580" s="35"/>
      <c r="Z580" s="28"/>
      <c r="AA580" s="36"/>
      <c r="AB580" s="36"/>
    </row>
    <row r="581">
      <c r="A581" s="28"/>
      <c r="B581" s="29"/>
      <c r="C581" s="29"/>
      <c r="D581" s="30"/>
      <c r="E581" s="31"/>
      <c r="F581" s="29"/>
      <c r="G581" s="29"/>
      <c r="H581" s="29"/>
      <c r="I581" s="29"/>
      <c r="J581" s="29"/>
      <c r="K581" s="29"/>
      <c r="L581" s="32"/>
      <c r="M581" s="29"/>
      <c r="N581" s="29"/>
      <c r="O581" s="33"/>
      <c r="P581" s="29"/>
      <c r="Q581" s="29"/>
      <c r="R581" s="32"/>
      <c r="S581" s="29"/>
      <c r="T581" s="34"/>
      <c r="U581" s="29"/>
      <c r="V581" s="29"/>
      <c r="W581" s="28"/>
      <c r="X581" s="28"/>
      <c r="Y581" s="35"/>
      <c r="Z581" s="28"/>
      <c r="AA581" s="36"/>
      <c r="AB581" s="36"/>
    </row>
    <row r="582">
      <c r="A582" s="28"/>
      <c r="B582" s="29"/>
      <c r="C582" s="29"/>
      <c r="D582" s="30"/>
      <c r="E582" s="31"/>
      <c r="F582" s="29"/>
      <c r="G582" s="29"/>
      <c r="H582" s="29"/>
      <c r="I582" s="29"/>
      <c r="J582" s="29"/>
      <c r="K582" s="29"/>
      <c r="L582" s="32"/>
      <c r="M582" s="29"/>
      <c r="N582" s="29"/>
      <c r="O582" s="33"/>
      <c r="P582" s="29"/>
      <c r="Q582" s="29"/>
      <c r="R582" s="32"/>
      <c r="S582" s="29"/>
      <c r="T582" s="34"/>
      <c r="U582" s="29"/>
      <c r="V582" s="29"/>
      <c r="W582" s="28"/>
      <c r="X582" s="28"/>
      <c r="Y582" s="35"/>
      <c r="Z582" s="28"/>
      <c r="AA582" s="36"/>
      <c r="AB582" s="36"/>
    </row>
    <row r="583">
      <c r="A583" s="28"/>
      <c r="B583" s="29"/>
      <c r="C583" s="29"/>
      <c r="D583" s="30"/>
      <c r="E583" s="31"/>
      <c r="F583" s="29"/>
      <c r="G583" s="29"/>
      <c r="H583" s="29"/>
      <c r="I583" s="29"/>
      <c r="J583" s="29"/>
      <c r="K583" s="29"/>
      <c r="L583" s="32"/>
      <c r="M583" s="29"/>
      <c r="N583" s="29"/>
      <c r="O583" s="33"/>
      <c r="P583" s="29"/>
      <c r="Q583" s="29"/>
      <c r="R583" s="32"/>
      <c r="S583" s="29"/>
      <c r="T583" s="34"/>
      <c r="U583" s="29"/>
      <c r="V583" s="29"/>
      <c r="W583" s="28"/>
      <c r="X583" s="28"/>
      <c r="Y583" s="35"/>
      <c r="Z583" s="28"/>
      <c r="AA583" s="36"/>
      <c r="AB583" s="36"/>
    </row>
    <row r="584">
      <c r="A584" s="28"/>
      <c r="B584" s="29"/>
      <c r="C584" s="29"/>
      <c r="D584" s="30"/>
      <c r="E584" s="31"/>
      <c r="F584" s="29"/>
      <c r="G584" s="29"/>
      <c r="H584" s="29"/>
      <c r="I584" s="29"/>
      <c r="J584" s="29"/>
      <c r="K584" s="29"/>
      <c r="L584" s="32"/>
      <c r="M584" s="29"/>
      <c r="N584" s="29"/>
      <c r="O584" s="33"/>
      <c r="P584" s="29"/>
      <c r="Q584" s="29"/>
      <c r="R584" s="32"/>
      <c r="S584" s="29"/>
      <c r="T584" s="34"/>
      <c r="U584" s="29"/>
      <c r="V584" s="29"/>
      <c r="W584" s="28"/>
      <c r="X584" s="28"/>
      <c r="Y584" s="35"/>
      <c r="Z584" s="28"/>
      <c r="AA584" s="36"/>
      <c r="AB584" s="36"/>
    </row>
    <row r="585">
      <c r="A585" s="28"/>
      <c r="B585" s="29"/>
      <c r="C585" s="29"/>
      <c r="D585" s="30"/>
      <c r="E585" s="31"/>
      <c r="F585" s="29"/>
      <c r="G585" s="29"/>
      <c r="H585" s="29"/>
      <c r="I585" s="29"/>
      <c r="J585" s="29"/>
      <c r="K585" s="29"/>
      <c r="L585" s="32"/>
      <c r="M585" s="29"/>
      <c r="N585" s="29"/>
      <c r="O585" s="33"/>
      <c r="P585" s="29"/>
      <c r="Q585" s="29"/>
      <c r="R585" s="32"/>
      <c r="S585" s="29"/>
      <c r="T585" s="34"/>
      <c r="U585" s="29"/>
      <c r="V585" s="29"/>
      <c r="W585" s="28"/>
      <c r="X585" s="28"/>
      <c r="Y585" s="35"/>
      <c r="Z585" s="28"/>
      <c r="AA585" s="36"/>
      <c r="AB585" s="36"/>
    </row>
    <row r="586">
      <c r="A586" s="28"/>
      <c r="B586" s="29"/>
      <c r="C586" s="29"/>
      <c r="D586" s="30"/>
      <c r="E586" s="31"/>
      <c r="F586" s="29"/>
      <c r="G586" s="29"/>
      <c r="H586" s="29"/>
      <c r="I586" s="29"/>
      <c r="J586" s="29"/>
      <c r="K586" s="29"/>
      <c r="L586" s="32"/>
      <c r="M586" s="29"/>
      <c r="N586" s="29"/>
      <c r="O586" s="33"/>
      <c r="P586" s="29"/>
      <c r="Q586" s="29"/>
      <c r="R586" s="32"/>
      <c r="S586" s="29"/>
      <c r="T586" s="34"/>
      <c r="U586" s="29"/>
      <c r="V586" s="29"/>
      <c r="W586" s="28"/>
      <c r="X586" s="28"/>
      <c r="Y586" s="35"/>
      <c r="Z586" s="28"/>
      <c r="AA586" s="36"/>
      <c r="AB586" s="36"/>
    </row>
    <row r="587">
      <c r="A587" s="28"/>
      <c r="B587" s="29"/>
      <c r="C587" s="29"/>
      <c r="D587" s="30"/>
      <c r="E587" s="31"/>
      <c r="F587" s="29"/>
      <c r="G587" s="29"/>
      <c r="H587" s="29"/>
      <c r="I587" s="29"/>
      <c r="J587" s="29"/>
      <c r="K587" s="29"/>
      <c r="L587" s="32"/>
      <c r="M587" s="29"/>
      <c r="N587" s="29"/>
      <c r="O587" s="33"/>
      <c r="P587" s="29"/>
      <c r="Q587" s="29"/>
      <c r="R587" s="32"/>
      <c r="S587" s="29"/>
      <c r="T587" s="34"/>
      <c r="U587" s="29"/>
      <c r="V587" s="29"/>
      <c r="W587" s="28"/>
      <c r="X587" s="28"/>
      <c r="Y587" s="35"/>
      <c r="Z587" s="28"/>
      <c r="AA587" s="36"/>
      <c r="AB587" s="36"/>
    </row>
    <row r="588">
      <c r="A588" s="28"/>
      <c r="B588" s="29"/>
      <c r="C588" s="29"/>
      <c r="D588" s="30"/>
      <c r="E588" s="31"/>
      <c r="F588" s="29"/>
      <c r="G588" s="29"/>
      <c r="H588" s="29"/>
      <c r="I588" s="29"/>
      <c r="J588" s="29"/>
      <c r="K588" s="29"/>
      <c r="L588" s="32"/>
      <c r="M588" s="29"/>
      <c r="N588" s="29"/>
      <c r="O588" s="33"/>
      <c r="P588" s="29"/>
      <c r="Q588" s="29"/>
      <c r="R588" s="32"/>
      <c r="S588" s="29"/>
      <c r="T588" s="34"/>
      <c r="U588" s="29"/>
      <c r="V588" s="29"/>
      <c r="W588" s="28"/>
      <c r="X588" s="28"/>
      <c r="Y588" s="35"/>
      <c r="Z588" s="28"/>
      <c r="AA588" s="36"/>
      <c r="AB588" s="36"/>
    </row>
    <row r="589">
      <c r="A589" s="28"/>
      <c r="B589" s="29"/>
      <c r="C589" s="29"/>
      <c r="D589" s="30"/>
      <c r="E589" s="31"/>
      <c r="F589" s="29"/>
      <c r="G589" s="29"/>
      <c r="H589" s="29"/>
      <c r="I589" s="29"/>
      <c r="J589" s="29"/>
      <c r="K589" s="29"/>
      <c r="L589" s="32"/>
      <c r="M589" s="29"/>
      <c r="N589" s="29"/>
      <c r="O589" s="33"/>
      <c r="P589" s="29"/>
      <c r="Q589" s="29"/>
      <c r="R589" s="32"/>
      <c r="S589" s="29"/>
      <c r="T589" s="34"/>
      <c r="U589" s="29"/>
      <c r="V589" s="29"/>
      <c r="W589" s="28"/>
      <c r="X589" s="28"/>
      <c r="Y589" s="35"/>
      <c r="Z589" s="28"/>
      <c r="AA589" s="36"/>
      <c r="AB589" s="36"/>
    </row>
    <row r="590">
      <c r="A590" s="28"/>
      <c r="B590" s="29"/>
      <c r="C590" s="29"/>
      <c r="D590" s="30"/>
      <c r="E590" s="31"/>
      <c r="F590" s="29"/>
      <c r="G590" s="29"/>
      <c r="H590" s="29"/>
      <c r="I590" s="29"/>
      <c r="J590" s="29"/>
      <c r="K590" s="29"/>
      <c r="L590" s="32"/>
      <c r="M590" s="29"/>
      <c r="N590" s="29"/>
      <c r="O590" s="33"/>
      <c r="P590" s="29"/>
      <c r="Q590" s="29"/>
      <c r="R590" s="32"/>
      <c r="S590" s="29"/>
      <c r="T590" s="34"/>
      <c r="U590" s="29"/>
      <c r="V590" s="29"/>
      <c r="W590" s="28"/>
      <c r="X590" s="28"/>
      <c r="Y590" s="35"/>
      <c r="Z590" s="28"/>
      <c r="AA590" s="36"/>
      <c r="AB590" s="36"/>
    </row>
    <row r="591">
      <c r="A591" s="28"/>
      <c r="B591" s="29"/>
      <c r="C591" s="29"/>
      <c r="D591" s="30"/>
      <c r="E591" s="31"/>
      <c r="F591" s="29"/>
      <c r="G591" s="29"/>
      <c r="H591" s="29"/>
      <c r="I591" s="29"/>
      <c r="J591" s="29"/>
      <c r="K591" s="29"/>
      <c r="L591" s="32"/>
      <c r="M591" s="29"/>
      <c r="N591" s="29"/>
      <c r="O591" s="33"/>
      <c r="P591" s="29"/>
      <c r="Q591" s="29"/>
      <c r="R591" s="32"/>
      <c r="S591" s="29"/>
      <c r="T591" s="34"/>
      <c r="U591" s="29"/>
      <c r="V591" s="29"/>
      <c r="W591" s="28"/>
      <c r="X591" s="28"/>
      <c r="Y591" s="35"/>
      <c r="Z591" s="28"/>
      <c r="AA591" s="36"/>
      <c r="AB591" s="36"/>
    </row>
    <row r="592">
      <c r="A592" s="28"/>
      <c r="B592" s="29"/>
      <c r="C592" s="29"/>
      <c r="D592" s="30"/>
      <c r="E592" s="31"/>
      <c r="F592" s="29"/>
      <c r="G592" s="29"/>
      <c r="H592" s="29"/>
      <c r="I592" s="29"/>
      <c r="J592" s="29"/>
      <c r="K592" s="29"/>
      <c r="L592" s="32"/>
      <c r="M592" s="29"/>
      <c r="N592" s="29"/>
      <c r="O592" s="33"/>
      <c r="P592" s="29"/>
      <c r="Q592" s="29"/>
      <c r="R592" s="32"/>
      <c r="S592" s="29"/>
      <c r="T592" s="34"/>
      <c r="U592" s="29"/>
      <c r="V592" s="29"/>
      <c r="W592" s="28"/>
      <c r="X592" s="28"/>
      <c r="Y592" s="35"/>
      <c r="Z592" s="28"/>
      <c r="AA592" s="36"/>
      <c r="AB592" s="36"/>
    </row>
    <row r="593">
      <c r="A593" s="28"/>
      <c r="B593" s="29"/>
      <c r="C593" s="29"/>
      <c r="D593" s="30"/>
      <c r="E593" s="31"/>
      <c r="F593" s="29"/>
      <c r="G593" s="29"/>
      <c r="H593" s="29"/>
      <c r="I593" s="29"/>
      <c r="J593" s="29"/>
      <c r="K593" s="29"/>
      <c r="L593" s="32"/>
      <c r="M593" s="29"/>
      <c r="N593" s="29"/>
      <c r="O593" s="33"/>
      <c r="P593" s="29"/>
      <c r="Q593" s="29"/>
      <c r="R593" s="32"/>
      <c r="S593" s="29"/>
      <c r="T593" s="34"/>
      <c r="U593" s="29"/>
      <c r="V593" s="29"/>
      <c r="W593" s="28"/>
      <c r="X593" s="28"/>
      <c r="Y593" s="35"/>
      <c r="Z593" s="28"/>
      <c r="AA593" s="36"/>
      <c r="AB593" s="36"/>
    </row>
    <row r="594">
      <c r="A594" s="28"/>
      <c r="B594" s="29"/>
      <c r="C594" s="29"/>
      <c r="D594" s="30"/>
      <c r="E594" s="31"/>
      <c r="F594" s="29"/>
      <c r="G594" s="29"/>
      <c r="H594" s="29"/>
      <c r="I594" s="29"/>
      <c r="J594" s="29"/>
      <c r="K594" s="29"/>
      <c r="L594" s="32"/>
      <c r="M594" s="29"/>
      <c r="N594" s="29"/>
      <c r="O594" s="33"/>
      <c r="P594" s="29"/>
      <c r="Q594" s="29"/>
      <c r="R594" s="32"/>
      <c r="S594" s="29"/>
      <c r="T594" s="34"/>
      <c r="U594" s="29"/>
      <c r="V594" s="29"/>
      <c r="W594" s="28"/>
      <c r="X594" s="28"/>
      <c r="Y594" s="35"/>
      <c r="Z594" s="28"/>
      <c r="AA594" s="36"/>
      <c r="AB594" s="36"/>
    </row>
    <row r="595">
      <c r="A595" s="28"/>
      <c r="B595" s="29"/>
      <c r="C595" s="29"/>
      <c r="D595" s="30"/>
      <c r="E595" s="31"/>
      <c r="F595" s="29"/>
      <c r="G595" s="29"/>
      <c r="H595" s="29"/>
      <c r="I595" s="29"/>
      <c r="J595" s="29"/>
      <c r="K595" s="29"/>
      <c r="L595" s="32"/>
      <c r="M595" s="29"/>
      <c r="N595" s="29"/>
      <c r="O595" s="33"/>
      <c r="P595" s="29"/>
      <c r="Q595" s="29"/>
      <c r="R595" s="32"/>
      <c r="S595" s="29"/>
      <c r="T595" s="34"/>
      <c r="U595" s="29"/>
      <c r="V595" s="29"/>
      <c r="W595" s="28"/>
      <c r="X595" s="28"/>
      <c r="Y595" s="35"/>
      <c r="Z595" s="28"/>
      <c r="AA595" s="36"/>
      <c r="AB595" s="36"/>
    </row>
    <row r="596">
      <c r="A596" s="28"/>
      <c r="B596" s="29"/>
      <c r="C596" s="29"/>
      <c r="D596" s="30"/>
      <c r="E596" s="31"/>
      <c r="F596" s="29"/>
      <c r="G596" s="29"/>
      <c r="H596" s="29"/>
      <c r="I596" s="29"/>
      <c r="J596" s="29"/>
      <c r="K596" s="29"/>
      <c r="L596" s="32"/>
      <c r="M596" s="29"/>
      <c r="N596" s="29"/>
      <c r="O596" s="33"/>
      <c r="P596" s="29"/>
      <c r="Q596" s="29"/>
      <c r="R596" s="32"/>
      <c r="S596" s="29"/>
      <c r="T596" s="34"/>
      <c r="U596" s="29"/>
      <c r="V596" s="29"/>
      <c r="W596" s="28"/>
      <c r="X596" s="28"/>
      <c r="Y596" s="35"/>
      <c r="Z596" s="28"/>
      <c r="AA596" s="36"/>
      <c r="AB596" s="36"/>
    </row>
    <row r="597">
      <c r="A597" s="28"/>
      <c r="B597" s="29"/>
      <c r="C597" s="29"/>
      <c r="D597" s="30"/>
      <c r="E597" s="31"/>
      <c r="F597" s="29"/>
      <c r="G597" s="29"/>
      <c r="H597" s="29"/>
      <c r="I597" s="29"/>
      <c r="J597" s="29"/>
      <c r="K597" s="29"/>
      <c r="L597" s="32"/>
      <c r="M597" s="29"/>
      <c r="N597" s="29"/>
      <c r="O597" s="33"/>
      <c r="P597" s="29"/>
      <c r="Q597" s="29"/>
      <c r="R597" s="32"/>
      <c r="S597" s="29"/>
      <c r="T597" s="34"/>
      <c r="U597" s="29"/>
      <c r="V597" s="29"/>
      <c r="W597" s="28"/>
      <c r="X597" s="28"/>
      <c r="Y597" s="35"/>
      <c r="Z597" s="28"/>
      <c r="AA597" s="36"/>
      <c r="AB597" s="36"/>
    </row>
    <row r="598">
      <c r="A598" s="28"/>
      <c r="B598" s="29"/>
      <c r="C598" s="29"/>
      <c r="D598" s="30"/>
      <c r="E598" s="31"/>
      <c r="F598" s="29"/>
      <c r="G598" s="29"/>
      <c r="H598" s="29"/>
      <c r="I598" s="29"/>
      <c r="J598" s="29"/>
      <c r="K598" s="29"/>
      <c r="L598" s="32"/>
      <c r="M598" s="29"/>
      <c r="N598" s="29"/>
      <c r="O598" s="33"/>
      <c r="P598" s="29"/>
      <c r="Q598" s="29"/>
      <c r="R598" s="32"/>
      <c r="S598" s="29"/>
      <c r="T598" s="34"/>
      <c r="U598" s="29"/>
      <c r="V598" s="29"/>
      <c r="W598" s="28"/>
      <c r="X598" s="28"/>
      <c r="Y598" s="35"/>
      <c r="Z598" s="28"/>
      <c r="AA598" s="36"/>
      <c r="AB598" s="36"/>
    </row>
    <row r="599">
      <c r="A599" s="28"/>
      <c r="B599" s="29"/>
      <c r="C599" s="29"/>
      <c r="D599" s="30"/>
      <c r="E599" s="31"/>
      <c r="F599" s="29"/>
      <c r="G599" s="29"/>
      <c r="H599" s="29"/>
      <c r="I599" s="29"/>
      <c r="J599" s="29"/>
      <c r="K599" s="29"/>
      <c r="L599" s="32"/>
      <c r="M599" s="29"/>
      <c r="N599" s="29"/>
      <c r="O599" s="33"/>
      <c r="P599" s="29"/>
      <c r="Q599" s="29"/>
      <c r="R599" s="32"/>
      <c r="S599" s="29"/>
      <c r="T599" s="34"/>
      <c r="U599" s="29"/>
      <c r="V599" s="29"/>
      <c r="W599" s="28"/>
      <c r="X599" s="28"/>
      <c r="Y599" s="35"/>
      <c r="Z599" s="28"/>
      <c r="AA599" s="36"/>
      <c r="AB599" s="36"/>
    </row>
    <row r="600">
      <c r="A600" s="28"/>
      <c r="B600" s="29"/>
      <c r="C600" s="29"/>
      <c r="D600" s="30"/>
      <c r="E600" s="31"/>
      <c r="F600" s="29"/>
      <c r="G600" s="29"/>
      <c r="H600" s="29"/>
      <c r="I600" s="29"/>
      <c r="J600" s="29"/>
      <c r="K600" s="29"/>
      <c r="L600" s="32"/>
      <c r="M600" s="29"/>
      <c r="N600" s="29"/>
      <c r="O600" s="33"/>
      <c r="P600" s="29"/>
      <c r="Q600" s="29"/>
      <c r="R600" s="32"/>
      <c r="S600" s="29"/>
      <c r="T600" s="34"/>
      <c r="U600" s="29"/>
      <c r="V600" s="29"/>
      <c r="W600" s="28"/>
      <c r="X600" s="28"/>
      <c r="Y600" s="35"/>
      <c r="Z600" s="28"/>
      <c r="AA600" s="36"/>
      <c r="AB600" s="36"/>
    </row>
    <row r="601">
      <c r="A601" s="28"/>
      <c r="B601" s="29"/>
      <c r="C601" s="29"/>
      <c r="D601" s="30"/>
      <c r="E601" s="31"/>
      <c r="F601" s="29"/>
      <c r="G601" s="29"/>
      <c r="H601" s="29"/>
      <c r="I601" s="29"/>
      <c r="J601" s="29"/>
      <c r="K601" s="29"/>
      <c r="L601" s="32"/>
      <c r="M601" s="29"/>
      <c r="N601" s="29"/>
      <c r="O601" s="33"/>
      <c r="P601" s="29"/>
      <c r="Q601" s="29"/>
      <c r="R601" s="32"/>
      <c r="S601" s="29"/>
      <c r="T601" s="34"/>
      <c r="U601" s="29"/>
      <c r="V601" s="29"/>
      <c r="W601" s="28"/>
      <c r="X601" s="28"/>
      <c r="Y601" s="35"/>
      <c r="Z601" s="28"/>
      <c r="AA601" s="36"/>
      <c r="AB601" s="36"/>
    </row>
    <row r="602">
      <c r="A602" s="28"/>
      <c r="B602" s="29"/>
      <c r="C602" s="29"/>
      <c r="D602" s="30"/>
      <c r="E602" s="31"/>
      <c r="F602" s="29"/>
      <c r="G602" s="29"/>
      <c r="H602" s="29"/>
      <c r="I602" s="29"/>
      <c r="J602" s="29"/>
      <c r="K602" s="29"/>
      <c r="L602" s="32"/>
      <c r="M602" s="29"/>
      <c r="N602" s="29"/>
      <c r="O602" s="33"/>
      <c r="P602" s="29"/>
      <c r="Q602" s="29"/>
      <c r="R602" s="32"/>
      <c r="S602" s="29"/>
      <c r="T602" s="34"/>
      <c r="U602" s="29"/>
      <c r="V602" s="29"/>
      <c r="W602" s="28"/>
      <c r="X602" s="28"/>
      <c r="Y602" s="35"/>
      <c r="Z602" s="28"/>
      <c r="AA602" s="36"/>
      <c r="AB602" s="36"/>
    </row>
    <row r="603">
      <c r="A603" s="28"/>
      <c r="B603" s="29"/>
      <c r="C603" s="29"/>
      <c r="D603" s="30"/>
      <c r="E603" s="31"/>
      <c r="F603" s="29"/>
      <c r="G603" s="29"/>
      <c r="H603" s="29"/>
      <c r="I603" s="29"/>
      <c r="J603" s="29"/>
      <c r="K603" s="29"/>
      <c r="L603" s="32"/>
      <c r="M603" s="29"/>
      <c r="N603" s="29"/>
      <c r="O603" s="33"/>
      <c r="P603" s="29"/>
      <c r="Q603" s="29"/>
      <c r="R603" s="32"/>
      <c r="S603" s="29"/>
      <c r="T603" s="34"/>
      <c r="U603" s="29"/>
      <c r="V603" s="29"/>
      <c r="W603" s="28"/>
      <c r="X603" s="28"/>
      <c r="Y603" s="35"/>
      <c r="Z603" s="28"/>
      <c r="AA603" s="36"/>
      <c r="AB603" s="36"/>
    </row>
    <row r="604">
      <c r="A604" s="28"/>
      <c r="B604" s="29"/>
      <c r="C604" s="29"/>
      <c r="D604" s="30"/>
      <c r="E604" s="31"/>
      <c r="F604" s="29"/>
      <c r="G604" s="29"/>
      <c r="H604" s="29"/>
      <c r="I604" s="29"/>
      <c r="J604" s="29"/>
      <c r="K604" s="29"/>
      <c r="L604" s="32"/>
      <c r="M604" s="29"/>
      <c r="N604" s="29"/>
      <c r="O604" s="33"/>
      <c r="P604" s="29"/>
      <c r="Q604" s="29"/>
      <c r="R604" s="32"/>
      <c r="S604" s="29"/>
      <c r="T604" s="34"/>
      <c r="U604" s="29"/>
      <c r="V604" s="29"/>
      <c r="W604" s="28"/>
      <c r="X604" s="28"/>
      <c r="Y604" s="35"/>
      <c r="Z604" s="28"/>
      <c r="AA604" s="36"/>
      <c r="AB604" s="36"/>
    </row>
    <row r="605">
      <c r="A605" s="28"/>
      <c r="B605" s="29"/>
      <c r="C605" s="29"/>
      <c r="D605" s="30"/>
      <c r="E605" s="31"/>
      <c r="F605" s="29"/>
      <c r="G605" s="29"/>
      <c r="H605" s="29"/>
      <c r="I605" s="29"/>
      <c r="J605" s="29"/>
      <c r="K605" s="29"/>
      <c r="L605" s="32"/>
      <c r="M605" s="29"/>
      <c r="N605" s="29"/>
      <c r="O605" s="33"/>
      <c r="P605" s="29"/>
      <c r="Q605" s="29"/>
      <c r="R605" s="32"/>
      <c r="S605" s="29"/>
      <c r="T605" s="34"/>
      <c r="U605" s="29"/>
      <c r="V605" s="29"/>
      <c r="W605" s="28"/>
      <c r="X605" s="28"/>
      <c r="Y605" s="35"/>
      <c r="Z605" s="28"/>
      <c r="AA605" s="36"/>
      <c r="AB605" s="36"/>
    </row>
    <row r="606">
      <c r="A606" s="28"/>
      <c r="B606" s="29"/>
      <c r="C606" s="29"/>
      <c r="D606" s="30"/>
      <c r="E606" s="31"/>
      <c r="F606" s="29"/>
      <c r="G606" s="29"/>
      <c r="H606" s="29"/>
      <c r="I606" s="29"/>
      <c r="J606" s="29"/>
      <c r="K606" s="29"/>
      <c r="L606" s="32"/>
      <c r="M606" s="29"/>
      <c r="N606" s="29"/>
      <c r="O606" s="33"/>
      <c r="P606" s="29"/>
      <c r="Q606" s="29"/>
      <c r="R606" s="32"/>
      <c r="S606" s="29"/>
      <c r="T606" s="34"/>
      <c r="U606" s="29"/>
      <c r="V606" s="29"/>
      <c r="W606" s="28"/>
      <c r="X606" s="28"/>
      <c r="Y606" s="35"/>
      <c r="Z606" s="28"/>
      <c r="AA606" s="36"/>
      <c r="AB606" s="36"/>
    </row>
    <row r="607">
      <c r="A607" s="28"/>
      <c r="B607" s="29"/>
      <c r="C607" s="29"/>
      <c r="D607" s="30"/>
      <c r="E607" s="31"/>
      <c r="F607" s="29"/>
      <c r="G607" s="29"/>
      <c r="H607" s="29"/>
      <c r="I607" s="29"/>
      <c r="J607" s="29"/>
      <c r="K607" s="29"/>
      <c r="L607" s="32"/>
      <c r="M607" s="29"/>
      <c r="N607" s="29"/>
      <c r="O607" s="33"/>
      <c r="P607" s="29"/>
      <c r="Q607" s="29"/>
      <c r="R607" s="32"/>
      <c r="S607" s="29"/>
      <c r="T607" s="34"/>
      <c r="U607" s="29"/>
      <c r="V607" s="29"/>
      <c r="W607" s="28"/>
      <c r="X607" s="28"/>
      <c r="Y607" s="35"/>
      <c r="Z607" s="28"/>
      <c r="AA607" s="36"/>
      <c r="AB607" s="36"/>
    </row>
    <row r="608">
      <c r="A608" s="28"/>
      <c r="B608" s="29"/>
      <c r="C608" s="29"/>
      <c r="D608" s="30"/>
      <c r="E608" s="31"/>
      <c r="F608" s="29"/>
      <c r="G608" s="29"/>
      <c r="H608" s="29"/>
      <c r="I608" s="29"/>
      <c r="J608" s="29"/>
      <c r="K608" s="29"/>
      <c r="L608" s="32"/>
      <c r="M608" s="29"/>
      <c r="N608" s="29"/>
      <c r="O608" s="33"/>
      <c r="P608" s="29"/>
      <c r="Q608" s="29"/>
      <c r="R608" s="32"/>
      <c r="S608" s="29"/>
      <c r="T608" s="34"/>
      <c r="U608" s="29"/>
      <c r="V608" s="29"/>
      <c r="W608" s="28"/>
      <c r="X608" s="28"/>
      <c r="Y608" s="35"/>
      <c r="Z608" s="28"/>
      <c r="AA608" s="36"/>
      <c r="AB608" s="36"/>
    </row>
    <row r="609">
      <c r="A609" s="28"/>
      <c r="B609" s="29"/>
      <c r="C609" s="29"/>
      <c r="D609" s="30"/>
      <c r="E609" s="31"/>
      <c r="F609" s="29"/>
      <c r="G609" s="29"/>
      <c r="H609" s="29"/>
      <c r="I609" s="29"/>
      <c r="J609" s="29"/>
      <c r="K609" s="29"/>
      <c r="L609" s="32"/>
      <c r="M609" s="29"/>
      <c r="N609" s="29"/>
      <c r="O609" s="33"/>
      <c r="P609" s="29"/>
      <c r="Q609" s="29"/>
      <c r="R609" s="32"/>
      <c r="S609" s="29"/>
      <c r="T609" s="34"/>
      <c r="U609" s="29"/>
      <c r="V609" s="29"/>
      <c r="W609" s="28"/>
      <c r="X609" s="28"/>
      <c r="Y609" s="35"/>
      <c r="Z609" s="28"/>
      <c r="AA609" s="36"/>
      <c r="AB609" s="36"/>
    </row>
    <row r="610">
      <c r="A610" s="28"/>
      <c r="B610" s="29"/>
      <c r="C610" s="29"/>
      <c r="D610" s="30"/>
      <c r="E610" s="31"/>
      <c r="F610" s="29"/>
      <c r="G610" s="29"/>
      <c r="H610" s="29"/>
      <c r="I610" s="29"/>
      <c r="J610" s="29"/>
      <c r="K610" s="29"/>
      <c r="L610" s="32"/>
      <c r="M610" s="29"/>
      <c r="N610" s="29"/>
      <c r="O610" s="33"/>
      <c r="P610" s="29"/>
      <c r="Q610" s="29"/>
      <c r="R610" s="32"/>
      <c r="S610" s="29"/>
      <c r="T610" s="34"/>
      <c r="U610" s="29"/>
      <c r="V610" s="29"/>
      <c r="W610" s="28"/>
      <c r="X610" s="28"/>
      <c r="Y610" s="35"/>
      <c r="Z610" s="28"/>
      <c r="AA610" s="36"/>
      <c r="AB610" s="36"/>
    </row>
    <row r="611">
      <c r="A611" s="28"/>
      <c r="B611" s="29"/>
      <c r="C611" s="29"/>
      <c r="D611" s="30"/>
      <c r="E611" s="31"/>
      <c r="F611" s="29"/>
      <c r="G611" s="29"/>
      <c r="H611" s="29"/>
      <c r="I611" s="29"/>
      <c r="J611" s="29"/>
      <c r="K611" s="29"/>
      <c r="L611" s="32"/>
      <c r="M611" s="29"/>
      <c r="N611" s="29"/>
      <c r="O611" s="33"/>
      <c r="P611" s="29"/>
      <c r="Q611" s="29"/>
      <c r="R611" s="32"/>
      <c r="S611" s="29"/>
      <c r="T611" s="34"/>
      <c r="U611" s="29"/>
      <c r="V611" s="29"/>
      <c r="W611" s="28"/>
      <c r="X611" s="28"/>
      <c r="Y611" s="35"/>
      <c r="Z611" s="28"/>
      <c r="AA611" s="36"/>
      <c r="AB611" s="36"/>
    </row>
    <row r="612">
      <c r="A612" s="28"/>
      <c r="B612" s="29"/>
      <c r="C612" s="29"/>
      <c r="D612" s="30"/>
      <c r="E612" s="31"/>
      <c r="F612" s="29"/>
      <c r="G612" s="29"/>
      <c r="H612" s="29"/>
      <c r="I612" s="29"/>
      <c r="J612" s="29"/>
      <c r="K612" s="29"/>
      <c r="L612" s="32"/>
      <c r="M612" s="29"/>
      <c r="N612" s="29"/>
      <c r="O612" s="33"/>
      <c r="P612" s="29"/>
      <c r="Q612" s="29"/>
      <c r="R612" s="32"/>
      <c r="S612" s="29"/>
      <c r="T612" s="34"/>
      <c r="U612" s="29"/>
      <c r="V612" s="29"/>
      <c r="W612" s="28"/>
      <c r="X612" s="28"/>
      <c r="Y612" s="35"/>
      <c r="Z612" s="28"/>
      <c r="AA612" s="36"/>
      <c r="AB612" s="36"/>
    </row>
    <row r="613">
      <c r="A613" s="28"/>
      <c r="B613" s="29"/>
      <c r="C613" s="29"/>
      <c r="D613" s="30"/>
      <c r="E613" s="31"/>
      <c r="F613" s="29"/>
      <c r="G613" s="29"/>
      <c r="H613" s="29"/>
      <c r="I613" s="29"/>
      <c r="J613" s="29"/>
      <c r="K613" s="29"/>
      <c r="L613" s="32"/>
      <c r="M613" s="29"/>
      <c r="N613" s="29"/>
      <c r="O613" s="33"/>
      <c r="P613" s="29"/>
      <c r="Q613" s="29"/>
      <c r="R613" s="32"/>
      <c r="S613" s="29"/>
      <c r="T613" s="34"/>
      <c r="U613" s="29"/>
      <c r="V613" s="29"/>
      <c r="W613" s="28"/>
      <c r="X613" s="28"/>
      <c r="Y613" s="35"/>
      <c r="Z613" s="28"/>
      <c r="AA613" s="36"/>
      <c r="AB613" s="36"/>
    </row>
    <row r="614">
      <c r="A614" s="28"/>
      <c r="B614" s="29"/>
      <c r="C614" s="29"/>
      <c r="D614" s="30"/>
      <c r="E614" s="31"/>
      <c r="F614" s="29"/>
      <c r="G614" s="29"/>
      <c r="H614" s="29"/>
      <c r="I614" s="29"/>
      <c r="J614" s="29"/>
      <c r="K614" s="29"/>
      <c r="L614" s="32"/>
      <c r="M614" s="29"/>
      <c r="N614" s="29"/>
      <c r="O614" s="33"/>
      <c r="P614" s="29"/>
      <c r="Q614" s="29"/>
      <c r="R614" s="32"/>
      <c r="S614" s="29"/>
      <c r="T614" s="34"/>
      <c r="U614" s="29"/>
      <c r="V614" s="29"/>
      <c r="W614" s="28"/>
      <c r="X614" s="28"/>
      <c r="Y614" s="35"/>
      <c r="Z614" s="28"/>
      <c r="AA614" s="36"/>
      <c r="AB614" s="36"/>
    </row>
    <row r="615">
      <c r="A615" s="28"/>
      <c r="B615" s="29"/>
      <c r="C615" s="29"/>
      <c r="D615" s="30"/>
      <c r="E615" s="31"/>
      <c r="F615" s="29"/>
      <c r="G615" s="29"/>
      <c r="H615" s="29"/>
      <c r="I615" s="29"/>
      <c r="J615" s="29"/>
      <c r="K615" s="29"/>
      <c r="L615" s="32"/>
      <c r="M615" s="29"/>
      <c r="N615" s="29"/>
      <c r="O615" s="33"/>
      <c r="P615" s="29"/>
      <c r="Q615" s="29"/>
      <c r="R615" s="32"/>
      <c r="S615" s="29"/>
      <c r="T615" s="34"/>
      <c r="U615" s="29"/>
      <c r="V615" s="29"/>
      <c r="W615" s="28"/>
      <c r="X615" s="28"/>
      <c r="Y615" s="35"/>
      <c r="Z615" s="28"/>
      <c r="AA615" s="36"/>
      <c r="AB615" s="36"/>
    </row>
    <row r="616">
      <c r="A616" s="28"/>
      <c r="B616" s="29"/>
      <c r="C616" s="29"/>
      <c r="D616" s="30"/>
      <c r="E616" s="31"/>
      <c r="F616" s="29"/>
      <c r="G616" s="29"/>
      <c r="H616" s="29"/>
      <c r="I616" s="29"/>
      <c r="J616" s="29"/>
      <c r="K616" s="29"/>
      <c r="L616" s="32"/>
      <c r="M616" s="29"/>
      <c r="N616" s="29"/>
      <c r="O616" s="33"/>
      <c r="P616" s="29"/>
      <c r="Q616" s="29"/>
      <c r="R616" s="32"/>
      <c r="S616" s="29"/>
      <c r="T616" s="34"/>
      <c r="U616" s="29"/>
      <c r="V616" s="29"/>
      <c r="W616" s="28"/>
      <c r="X616" s="28"/>
      <c r="Y616" s="35"/>
      <c r="Z616" s="28"/>
      <c r="AA616" s="36"/>
      <c r="AB616" s="36"/>
    </row>
    <row r="617">
      <c r="A617" s="28"/>
      <c r="B617" s="29"/>
      <c r="C617" s="29"/>
      <c r="D617" s="30"/>
      <c r="E617" s="31"/>
      <c r="F617" s="29"/>
      <c r="G617" s="29"/>
      <c r="H617" s="29"/>
      <c r="I617" s="29"/>
      <c r="J617" s="29"/>
      <c r="K617" s="29"/>
      <c r="L617" s="32"/>
      <c r="M617" s="29"/>
      <c r="N617" s="29"/>
      <c r="O617" s="33"/>
      <c r="P617" s="29"/>
      <c r="Q617" s="29"/>
      <c r="R617" s="32"/>
      <c r="S617" s="29"/>
      <c r="T617" s="34"/>
      <c r="U617" s="29"/>
      <c r="V617" s="29"/>
      <c r="W617" s="28"/>
      <c r="X617" s="28"/>
      <c r="Y617" s="35"/>
      <c r="Z617" s="28"/>
      <c r="AA617" s="36"/>
      <c r="AB617" s="36"/>
    </row>
    <row r="618">
      <c r="A618" s="28"/>
      <c r="B618" s="29"/>
      <c r="C618" s="29"/>
      <c r="D618" s="30"/>
      <c r="E618" s="31"/>
      <c r="F618" s="29"/>
      <c r="G618" s="29"/>
      <c r="H618" s="29"/>
      <c r="I618" s="29"/>
      <c r="J618" s="29"/>
      <c r="K618" s="29"/>
      <c r="L618" s="32"/>
      <c r="M618" s="29"/>
      <c r="N618" s="29"/>
      <c r="O618" s="33"/>
      <c r="P618" s="29"/>
      <c r="Q618" s="29"/>
      <c r="R618" s="32"/>
      <c r="S618" s="29"/>
      <c r="T618" s="34"/>
      <c r="U618" s="29"/>
      <c r="V618" s="29"/>
      <c r="W618" s="28"/>
      <c r="X618" s="28"/>
      <c r="Y618" s="35"/>
      <c r="Z618" s="28"/>
      <c r="AA618" s="36"/>
      <c r="AB618" s="36"/>
    </row>
    <row r="619">
      <c r="A619" s="28"/>
      <c r="B619" s="29"/>
      <c r="C619" s="29"/>
      <c r="D619" s="30"/>
      <c r="E619" s="31"/>
      <c r="F619" s="29"/>
      <c r="G619" s="29"/>
      <c r="H619" s="29"/>
      <c r="I619" s="29"/>
      <c r="J619" s="29"/>
      <c r="K619" s="29"/>
      <c r="L619" s="32"/>
      <c r="M619" s="29"/>
      <c r="N619" s="29"/>
      <c r="O619" s="33"/>
      <c r="P619" s="29"/>
      <c r="Q619" s="29"/>
      <c r="R619" s="32"/>
      <c r="S619" s="29"/>
      <c r="T619" s="34"/>
      <c r="U619" s="29"/>
      <c r="V619" s="29"/>
      <c r="W619" s="28"/>
      <c r="X619" s="28"/>
      <c r="Y619" s="35"/>
      <c r="Z619" s="28"/>
      <c r="AA619" s="36"/>
      <c r="AB619" s="36"/>
    </row>
    <row r="620">
      <c r="A620" s="28"/>
      <c r="B620" s="29"/>
      <c r="C620" s="29"/>
      <c r="D620" s="30"/>
      <c r="E620" s="31"/>
      <c r="F620" s="29"/>
      <c r="G620" s="29"/>
      <c r="H620" s="29"/>
      <c r="I620" s="29"/>
      <c r="J620" s="29"/>
      <c r="K620" s="29"/>
      <c r="L620" s="32"/>
      <c r="M620" s="29"/>
      <c r="N620" s="29"/>
      <c r="O620" s="33"/>
      <c r="P620" s="29"/>
      <c r="Q620" s="29"/>
      <c r="R620" s="32"/>
      <c r="S620" s="29"/>
      <c r="T620" s="34"/>
      <c r="U620" s="29"/>
      <c r="V620" s="29"/>
      <c r="W620" s="28"/>
      <c r="X620" s="28"/>
      <c r="Y620" s="35"/>
      <c r="Z620" s="28"/>
      <c r="AA620" s="36"/>
      <c r="AB620" s="36"/>
    </row>
    <row r="621">
      <c r="A621" s="28"/>
      <c r="B621" s="29"/>
      <c r="C621" s="29"/>
      <c r="D621" s="30"/>
      <c r="E621" s="31"/>
      <c r="F621" s="29"/>
      <c r="G621" s="29"/>
      <c r="H621" s="29"/>
      <c r="I621" s="29"/>
      <c r="J621" s="29"/>
      <c r="K621" s="29"/>
      <c r="L621" s="32"/>
      <c r="M621" s="29"/>
      <c r="N621" s="29"/>
      <c r="O621" s="33"/>
      <c r="P621" s="29"/>
      <c r="Q621" s="29"/>
      <c r="R621" s="32"/>
      <c r="S621" s="29"/>
      <c r="T621" s="34"/>
      <c r="U621" s="29"/>
      <c r="V621" s="29"/>
      <c r="W621" s="28"/>
      <c r="X621" s="28"/>
      <c r="Y621" s="35"/>
      <c r="Z621" s="28"/>
      <c r="AA621" s="36"/>
      <c r="AB621" s="36"/>
    </row>
    <row r="622">
      <c r="A622" s="28"/>
      <c r="B622" s="29"/>
      <c r="C622" s="29"/>
      <c r="D622" s="30"/>
      <c r="E622" s="31"/>
      <c r="F622" s="29"/>
      <c r="G622" s="29"/>
      <c r="H622" s="29"/>
      <c r="I622" s="29"/>
      <c r="J622" s="29"/>
      <c r="K622" s="29"/>
      <c r="L622" s="32"/>
      <c r="M622" s="29"/>
      <c r="N622" s="29"/>
      <c r="O622" s="33"/>
      <c r="P622" s="29"/>
      <c r="Q622" s="29"/>
      <c r="R622" s="32"/>
      <c r="S622" s="29"/>
      <c r="T622" s="34"/>
      <c r="U622" s="29"/>
      <c r="V622" s="29"/>
      <c r="W622" s="28"/>
      <c r="X622" s="28"/>
      <c r="Y622" s="35"/>
      <c r="Z622" s="28"/>
      <c r="AA622" s="36"/>
      <c r="AB622" s="36"/>
    </row>
    <row r="623">
      <c r="A623" s="28"/>
      <c r="B623" s="29"/>
      <c r="C623" s="29"/>
      <c r="D623" s="30"/>
      <c r="E623" s="31"/>
      <c r="F623" s="29"/>
      <c r="G623" s="29"/>
      <c r="H623" s="29"/>
      <c r="I623" s="29"/>
      <c r="J623" s="29"/>
      <c r="K623" s="29"/>
      <c r="L623" s="32"/>
      <c r="M623" s="29"/>
      <c r="N623" s="29"/>
      <c r="O623" s="33"/>
      <c r="P623" s="29"/>
      <c r="Q623" s="29"/>
      <c r="R623" s="32"/>
      <c r="S623" s="29"/>
      <c r="T623" s="34"/>
      <c r="U623" s="29"/>
      <c r="V623" s="29"/>
      <c r="W623" s="28"/>
      <c r="X623" s="28"/>
      <c r="Y623" s="35"/>
      <c r="Z623" s="28"/>
      <c r="AA623" s="36"/>
      <c r="AB623" s="36"/>
    </row>
    <row r="624">
      <c r="A624" s="28"/>
      <c r="B624" s="29"/>
      <c r="C624" s="29"/>
      <c r="D624" s="30"/>
      <c r="E624" s="31"/>
      <c r="F624" s="29"/>
      <c r="G624" s="29"/>
      <c r="H624" s="29"/>
      <c r="I624" s="29"/>
      <c r="J624" s="29"/>
      <c r="K624" s="29"/>
      <c r="L624" s="32"/>
      <c r="M624" s="29"/>
      <c r="N624" s="29"/>
      <c r="O624" s="33"/>
      <c r="P624" s="29"/>
      <c r="Q624" s="29"/>
      <c r="R624" s="32"/>
      <c r="S624" s="29"/>
      <c r="T624" s="34"/>
      <c r="U624" s="29"/>
      <c r="V624" s="29"/>
      <c r="W624" s="28"/>
      <c r="X624" s="28"/>
      <c r="Y624" s="35"/>
      <c r="Z624" s="28"/>
      <c r="AA624" s="36"/>
      <c r="AB624" s="36"/>
    </row>
    <row r="625">
      <c r="A625" s="28"/>
      <c r="B625" s="29"/>
      <c r="C625" s="29"/>
      <c r="D625" s="30"/>
      <c r="E625" s="31"/>
      <c r="F625" s="29"/>
      <c r="G625" s="29"/>
      <c r="H625" s="29"/>
      <c r="I625" s="29"/>
      <c r="J625" s="29"/>
      <c r="K625" s="29"/>
      <c r="L625" s="32"/>
      <c r="M625" s="29"/>
      <c r="N625" s="29"/>
      <c r="O625" s="33"/>
      <c r="P625" s="29"/>
      <c r="Q625" s="29"/>
      <c r="R625" s="32"/>
      <c r="S625" s="29"/>
      <c r="T625" s="34"/>
      <c r="U625" s="29"/>
      <c r="V625" s="29"/>
      <c r="W625" s="28"/>
      <c r="X625" s="28"/>
      <c r="Y625" s="35"/>
      <c r="Z625" s="28"/>
      <c r="AA625" s="36"/>
      <c r="AB625" s="36"/>
    </row>
    <row r="626">
      <c r="A626" s="28"/>
      <c r="B626" s="29"/>
      <c r="C626" s="29"/>
      <c r="D626" s="30"/>
      <c r="E626" s="31"/>
      <c r="F626" s="29"/>
      <c r="G626" s="29"/>
      <c r="H626" s="29"/>
      <c r="I626" s="29"/>
      <c r="J626" s="29"/>
      <c r="K626" s="29"/>
      <c r="L626" s="32"/>
      <c r="M626" s="29"/>
      <c r="N626" s="29"/>
      <c r="O626" s="33"/>
      <c r="P626" s="29"/>
      <c r="Q626" s="29"/>
      <c r="R626" s="32"/>
      <c r="S626" s="29"/>
      <c r="T626" s="34"/>
      <c r="U626" s="29"/>
      <c r="V626" s="29"/>
      <c r="W626" s="28"/>
      <c r="X626" s="28"/>
      <c r="Y626" s="35"/>
      <c r="Z626" s="28"/>
      <c r="AA626" s="36"/>
      <c r="AB626" s="36"/>
    </row>
    <row r="627">
      <c r="A627" s="28"/>
      <c r="B627" s="29"/>
      <c r="C627" s="29"/>
      <c r="D627" s="30"/>
      <c r="E627" s="31"/>
      <c r="F627" s="29"/>
      <c r="G627" s="29"/>
      <c r="H627" s="29"/>
      <c r="I627" s="29"/>
      <c r="J627" s="29"/>
      <c r="K627" s="29"/>
      <c r="L627" s="32"/>
      <c r="M627" s="29"/>
      <c r="N627" s="29"/>
      <c r="O627" s="33"/>
      <c r="P627" s="29"/>
      <c r="Q627" s="29"/>
      <c r="R627" s="32"/>
      <c r="S627" s="29"/>
      <c r="T627" s="34"/>
      <c r="U627" s="29"/>
      <c r="V627" s="29"/>
      <c r="W627" s="28"/>
      <c r="X627" s="28"/>
      <c r="Y627" s="35"/>
      <c r="Z627" s="28"/>
      <c r="AA627" s="36"/>
      <c r="AB627" s="36"/>
    </row>
    <row r="628">
      <c r="A628" s="28"/>
      <c r="B628" s="29"/>
      <c r="C628" s="29"/>
      <c r="D628" s="30"/>
      <c r="E628" s="31"/>
      <c r="F628" s="29"/>
      <c r="G628" s="29"/>
      <c r="H628" s="29"/>
      <c r="I628" s="29"/>
      <c r="J628" s="29"/>
      <c r="K628" s="29"/>
      <c r="L628" s="32"/>
      <c r="M628" s="29"/>
      <c r="N628" s="29"/>
      <c r="O628" s="33"/>
      <c r="P628" s="29"/>
      <c r="Q628" s="29"/>
      <c r="R628" s="32"/>
      <c r="S628" s="29"/>
      <c r="T628" s="34"/>
      <c r="U628" s="29"/>
      <c r="V628" s="29"/>
      <c r="W628" s="28"/>
      <c r="X628" s="28"/>
      <c r="Y628" s="35"/>
      <c r="Z628" s="28"/>
      <c r="AA628" s="36"/>
      <c r="AB628" s="36"/>
    </row>
    <row r="629">
      <c r="A629" s="28"/>
      <c r="B629" s="29"/>
      <c r="C629" s="29"/>
      <c r="D629" s="30"/>
      <c r="E629" s="31"/>
      <c r="F629" s="29"/>
      <c r="G629" s="29"/>
      <c r="H629" s="29"/>
      <c r="I629" s="29"/>
      <c r="J629" s="29"/>
      <c r="K629" s="29"/>
      <c r="L629" s="32"/>
      <c r="M629" s="29"/>
      <c r="N629" s="29"/>
      <c r="O629" s="33"/>
      <c r="P629" s="29"/>
      <c r="Q629" s="29"/>
      <c r="R629" s="32"/>
      <c r="S629" s="29"/>
      <c r="T629" s="34"/>
      <c r="U629" s="29"/>
      <c r="V629" s="29"/>
      <c r="W629" s="28"/>
      <c r="X629" s="28"/>
      <c r="Y629" s="35"/>
      <c r="Z629" s="28"/>
      <c r="AA629" s="36"/>
      <c r="AB629" s="36"/>
    </row>
    <row r="630">
      <c r="A630" s="28"/>
      <c r="B630" s="29"/>
      <c r="C630" s="29"/>
      <c r="D630" s="30"/>
      <c r="E630" s="31"/>
      <c r="F630" s="29"/>
      <c r="G630" s="29"/>
      <c r="H630" s="29"/>
      <c r="I630" s="29"/>
      <c r="J630" s="29"/>
      <c r="K630" s="29"/>
      <c r="L630" s="32"/>
      <c r="M630" s="29"/>
      <c r="N630" s="29"/>
      <c r="O630" s="33"/>
      <c r="P630" s="29"/>
      <c r="Q630" s="29"/>
      <c r="R630" s="32"/>
      <c r="S630" s="29"/>
      <c r="T630" s="34"/>
      <c r="U630" s="29"/>
      <c r="V630" s="29"/>
      <c r="W630" s="28"/>
      <c r="X630" s="28"/>
      <c r="Y630" s="35"/>
      <c r="Z630" s="28"/>
      <c r="AA630" s="36"/>
      <c r="AB630" s="36"/>
    </row>
    <row r="631">
      <c r="A631" s="28"/>
      <c r="B631" s="29"/>
      <c r="C631" s="29"/>
      <c r="D631" s="30"/>
      <c r="E631" s="31"/>
      <c r="F631" s="29"/>
      <c r="G631" s="29"/>
      <c r="H631" s="29"/>
      <c r="I631" s="29"/>
      <c r="J631" s="29"/>
      <c r="K631" s="29"/>
      <c r="L631" s="32"/>
      <c r="M631" s="29"/>
      <c r="N631" s="29"/>
      <c r="O631" s="33"/>
      <c r="P631" s="29"/>
      <c r="Q631" s="29"/>
      <c r="R631" s="32"/>
      <c r="S631" s="29"/>
      <c r="T631" s="34"/>
      <c r="U631" s="29"/>
      <c r="V631" s="29"/>
      <c r="W631" s="28"/>
      <c r="X631" s="28"/>
      <c r="Y631" s="35"/>
      <c r="Z631" s="28"/>
      <c r="AA631" s="36"/>
      <c r="AB631" s="36"/>
    </row>
    <row r="632">
      <c r="A632" s="28"/>
      <c r="B632" s="29"/>
      <c r="C632" s="29"/>
      <c r="D632" s="30"/>
      <c r="E632" s="31"/>
      <c r="F632" s="29"/>
      <c r="G632" s="29"/>
      <c r="H632" s="29"/>
      <c r="I632" s="29"/>
      <c r="J632" s="29"/>
      <c r="K632" s="29"/>
      <c r="L632" s="32"/>
      <c r="M632" s="29"/>
      <c r="N632" s="29"/>
      <c r="O632" s="33"/>
      <c r="P632" s="29"/>
      <c r="Q632" s="29"/>
      <c r="R632" s="32"/>
      <c r="S632" s="29"/>
      <c r="T632" s="34"/>
      <c r="U632" s="29"/>
      <c r="V632" s="29"/>
      <c r="W632" s="28"/>
      <c r="X632" s="28"/>
      <c r="Y632" s="35"/>
      <c r="Z632" s="28"/>
      <c r="AA632" s="36"/>
      <c r="AB632" s="36"/>
    </row>
    <row r="633">
      <c r="A633" s="28"/>
      <c r="B633" s="29"/>
      <c r="C633" s="29"/>
      <c r="D633" s="30"/>
      <c r="E633" s="31"/>
      <c r="F633" s="29"/>
      <c r="G633" s="29"/>
      <c r="H633" s="29"/>
      <c r="I633" s="29"/>
      <c r="J633" s="29"/>
      <c r="K633" s="29"/>
      <c r="L633" s="32"/>
      <c r="M633" s="29"/>
      <c r="N633" s="29"/>
      <c r="O633" s="33"/>
      <c r="P633" s="29"/>
      <c r="Q633" s="29"/>
      <c r="R633" s="32"/>
      <c r="S633" s="29"/>
      <c r="T633" s="34"/>
      <c r="U633" s="29"/>
      <c r="V633" s="29"/>
      <c r="W633" s="28"/>
      <c r="X633" s="28"/>
      <c r="Y633" s="35"/>
      <c r="Z633" s="28"/>
      <c r="AA633" s="36"/>
      <c r="AB633" s="36"/>
    </row>
    <row r="634">
      <c r="A634" s="28"/>
      <c r="B634" s="29"/>
      <c r="C634" s="29"/>
      <c r="D634" s="30"/>
      <c r="E634" s="31"/>
      <c r="F634" s="29"/>
      <c r="G634" s="29"/>
      <c r="H634" s="29"/>
      <c r="I634" s="29"/>
      <c r="J634" s="29"/>
      <c r="K634" s="29"/>
      <c r="L634" s="32"/>
      <c r="M634" s="29"/>
      <c r="N634" s="29"/>
      <c r="O634" s="33"/>
      <c r="P634" s="29"/>
      <c r="Q634" s="29"/>
      <c r="R634" s="32"/>
      <c r="S634" s="29"/>
      <c r="T634" s="34"/>
      <c r="U634" s="29"/>
      <c r="V634" s="29"/>
      <c r="W634" s="28"/>
      <c r="X634" s="28"/>
      <c r="Y634" s="35"/>
      <c r="Z634" s="28"/>
      <c r="AA634" s="36"/>
      <c r="AB634" s="36"/>
    </row>
    <row r="635">
      <c r="A635" s="28"/>
      <c r="B635" s="29"/>
      <c r="C635" s="29"/>
      <c r="D635" s="30"/>
      <c r="E635" s="31"/>
      <c r="F635" s="29"/>
      <c r="G635" s="29"/>
      <c r="H635" s="29"/>
      <c r="I635" s="29"/>
      <c r="J635" s="29"/>
      <c r="K635" s="29"/>
      <c r="L635" s="32"/>
      <c r="M635" s="29"/>
      <c r="N635" s="29"/>
      <c r="O635" s="33"/>
      <c r="P635" s="29"/>
      <c r="Q635" s="29"/>
      <c r="R635" s="32"/>
      <c r="S635" s="29"/>
      <c r="T635" s="34"/>
      <c r="U635" s="29"/>
      <c r="V635" s="29"/>
      <c r="W635" s="28"/>
      <c r="X635" s="28"/>
      <c r="Y635" s="35"/>
      <c r="Z635" s="28"/>
      <c r="AA635" s="36"/>
      <c r="AB635" s="36"/>
    </row>
    <row r="636">
      <c r="A636" s="28"/>
      <c r="B636" s="29"/>
      <c r="C636" s="29"/>
      <c r="D636" s="30"/>
      <c r="E636" s="31"/>
      <c r="F636" s="29"/>
      <c r="G636" s="29"/>
      <c r="H636" s="29"/>
      <c r="I636" s="29"/>
      <c r="J636" s="29"/>
      <c r="K636" s="29"/>
      <c r="L636" s="32"/>
      <c r="M636" s="29"/>
      <c r="N636" s="29"/>
      <c r="O636" s="33"/>
      <c r="P636" s="29"/>
      <c r="Q636" s="29"/>
      <c r="R636" s="32"/>
      <c r="S636" s="29"/>
      <c r="T636" s="34"/>
      <c r="U636" s="29"/>
      <c r="V636" s="29"/>
      <c r="W636" s="28"/>
      <c r="X636" s="28"/>
      <c r="Y636" s="35"/>
      <c r="Z636" s="28"/>
      <c r="AA636" s="36"/>
      <c r="AB636" s="36"/>
    </row>
    <row r="637">
      <c r="A637" s="28"/>
      <c r="B637" s="29"/>
      <c r="C637" s="29"/>
      <c r="D637" s="30"/>
      <c r="E637" s="31"/>
      <c r="F637" s="29"/>
      <c r="G637" s="29"/>
      <c r="H637" s="29"/>
      <c r="I637" s="29"/>
      <c r="J637" s="29"/>
      <c r="K637" s="29"/>
      <c r="L637" s="32"/>
      <c r="M637" s="29"/>
      <c r="N637" s="29"/>
      <c r="O637" s="33"/>
      <c r="P637" s="29"/>
      <c r="Q637" s="29"/>
      <c r="R637" s="32"/>
      <c r="S637" s="29"/>
      <c r="T637" s="34"/>
      <c r="U637" s="29"/>
      <c r="V637" s="29"/>
      <c r="W637" s="28"/>
      <c r="X637" s="28"/>
      <c r="Y637" s="35"/>
      <c r="Z637" s="28"/>
      <c r="AA637" s="36"/>
      <c r="AB637" s="36"/>
    </row>
    <row r="638">
      <c r="A638" s="28"/>
      <c r="B638" s="29"/>
      <c r="C638" s="29"/>
      <c r="D638" s="30"/>
      <c r="E638" s="31"/>
      <c r="F638" s="29"/>
      <c r="G638" s="29"/>
      <c r="H638" s="29"/>
      <c r="I638" s="29"/>
      <c r="J638" s="29"/>
      <c r="K638" s="29"/>
      <c r="L638" s="32"/>
      <c r="M638" s="29"/>
      <c r="N638" s="29"/>
      <c r="O638" s="33"/>
      <c r="P638" s="29"/>
      <c r="Q638" s="29"/>
      <c r="R638" s="32"/>
      <c r="S638" s="29"/>
      <c r="T638" s="34"/>
      <c r="U638" s="29"/>
      <c r="V638" s="29"/>
      <c r="W638" s="28"/>
      <c r="X638" s="28"/>
      <c r="Y638" s="35"/>
      <c r="Z638" s="28"/>
      <c r="AA638" s="36"/>
      <c r="AB638" s="36"/>
    </row>
    <row r="639">
      <c r="A639" s="28"/>
      <c r="B639" s="29"/>
      <c r="C639" s="29"/>
      <c r="D639" s="30"/>
      <c r="E639" s="31"/>
      <c r="F639" s="29"/>
      <c r="G639" s="29"/>
      <c r="H639" s="29"/>
      <c r="I639" s="29"/>
      <c r="J639" s="29"/>
      <c r="K639" s="29"/>
      <c r="L639" s="32"/>
      <c r="M639" s="29"/>
      <c r="N639" s="29"/>
      <c r="O639" s="33"/>
      <c r="P639" s="29"/>
      <c r="Q639" s="29"/>
      <c r="R639" s="32"/>
      <c r="S639" s="29"/>
      <c r="T639" s="34"/>
      <c r="U639" s="29"/>
      <c r="V639" s="29"/>
      <c r="W639" s="28"/>
      <c r="X639" s="28"/>
      <c r="Y639" s="35"/>
      <c r="Z639" s="28"/>
      <c r="AA639" s="36"/>
      <c r="AB639" s="36"/>
    </row>
    <row r="640">
      <c r="A640" s="28"/>
      <c r="B640" s="29"/>
      <c r="C640" s="29"/>
      <c r="D640" s="30"/>
      <c r="E640" s="31"/>
      <c r="F640" s="29"/>
      <c r="G640" s="29"/>
      <c r="H640" s="29"/>
      <c r="I640" s="29"/>
      <c r="J640" s="29"/>
      <c r="K640" s="29"/>
      <c r="L640" s="32"/>
      <c r="M640" s="29"/>
      <c r="N640" s="29"/>
      <c r="O640" s="33"/>
      <c r="P640" s="29"/>
      <c r="Q640" s="29"/>
      <c r="R640" s="32"/>
      <c r="S640" s="29"/>
      <c r="T640" s="34"/>
      <c r="U640" s="29"/>
      <c r="V640" s="29"/>
      <c r="W640" s="28"/>
      <c r="X640" s="28"/>
      <c r="Y640" s="35"/>
      <c r="Z640" s="28"/>
      <c r="AA640" s="36"/>
      <c r="AB640" s="36"/>
    </row>
    <row r="641">
      <c r="A641" s="28"/>
      <c r="B641" s="29"/>
      <c r="C641" s="29"/>
      <c r="D641" s="30"/>
      <c r="E641" s="31"/>
      <c r="F641" s="29"/>
      <c r="G641" s="29"/>
      <c r="H641" s="29"/>
      <c r="I641" s="29"/>
      <c r="J641" s="29"/>
      <c r="K641" s="29"/>
      <c r="L641" s="32"/>
      <c r="M641" s="29"/>
      <c r="N641" s="29"/>
      <c r="O641" s="33"/>
      <c r="P641" s="29"/>
      <c r="Q641" s="29"/>
      <c r="R641" s="32"/>
      <c r="S641" s="29"/>
      <c r="T641" s="34"/>
      <c r="U641" s="29"/>
      <c r="V641" s="29"/>
      <c r="W641" s="28"/>
      <c r="X641" s="28"/>
      <c r="Y641" s="35"/>
      <c r="Z641" s="28"/>
      <c r="AA641" s="36"/>
      <c r="AB641" s="36"/>
    </row>
    <row r="642">
      <c r="A642" s="28"/>
      <c r="B642" s="29"/>
      <c r="C642" s="29"/>
      <c r="D642" s="30"/>
      <c r="E642" s="31"/>
      <c r="F642" s="29"/>
      <c r="G642" s="29"/>
      <c r="H642" s="29"/>
      <c r="I642" s="29"/>
      <c r="J642" s="29"/>
      <c r="K642" s="29"/>
      <c r="L642" s="32"/>
      <c r="M642" s="29"/>
      <c r="N642" s="29"/>
      <c r="O642" s="33"/>
      <c r="P642" s="29"/>
      <c r="Q642" s="29"/>
      <c r="R642" s="32"/>
      <c r="S642" s="29"/>
      <c r="T642" s="34"/>
      <c r="U642" s="29"/>
      <c r="V642" s="29"/>
      <c r="W642" s="28"/>
      <c r="X642" s="28"/>
      <c r="Y642" s="35"/>
      <c r="Z642" s="28"/>
      <c r="AA642" s="36"/>
      <c r="AB642" s="36"/>
    </row>
    <row r="643">
      <c r="A643" s="28"/>
      <c r="B643" s="29"/>
      <c r="C643" s="29"/>
      <c r="D643" s="30"/>
      <c r="E643" s="31"/>
      <c r="F643" s="29"/>
      <c r="G643" s="29"/>
      <c r="H643" s="29"/>
      <c r="I643" s="29"/>
      <c r="J643" s="29"/>
      <c r="K643" s="29"/>
      <c r="L643" s="32"/>
      <c r="M643" s="29"/>
      <c r="N643" s="29"/>
      <c r="O643" s="33"/>
      <c r="P643" s="29"/>
      <c r="Q643" s="29"/>
      <c r="R643" s="32"/>
      <c r="S643" s="29"/>
      <c r="T643" s="34"/>
      <c r="U643" s="29"/>
      <c r="V643" s="29"/>
      <c r="W643" s="28"/>
      <c r="X643" s="28"/>
      <c r="Y643" s="35"/>
      <c r="Z643" s="28"/>
      <c r="AA643" s="36"/>
      <c r="AB643" s="36"/>
    </row>
    <row r="644">
      <c r="A644" s="28"/>
      <c r="B644" s="29"/>
      <c r="C644" s="29"/>
      <c r="D644" s="30"/>
      <c r="E644" s="31"/>
      <c r="F644" s="29"/>
      <c r="G644" s="29"/>
      <c r="H644" s="29"/>
      <c r="I644" s="29"/>
      <c r="J644" s="29"/>
      <c r="K644" s="29"/>
      <c r="L644" s="32"/>
      <c r="M644" s="29"/>
      <c r="N644" s="29"/>
      <c r="O644" s="33"/>
      <c r="P644" s="29"/>
      <c r="Q644" s="29"/>
      <c r="R644" s="32"/>
      <c r="S644" s="29"/>
      <c r="T644" s="34"/>
      <c r="U644" s="29"/>
      <c r="V644" s="29"/>
      <c r="W644" s="28"/>
      <c r="X644" s="28"/>
      <c r="Y644" s="35"/>
      <c r="Z644" s="28"/>
      <c r="AA644" s="36"/>
      <c r="AB644" s="36"/>
    </row>
    <row r="645">
      <c r="A645" s="28"/>
      <c r="B645" s="29"/>
      <c r="C645" s="29"/>
      <c r="D645" s="30"/>
      <c r="E645" s="31"/>
      <c r="F645" s="29"/>
      <c r="G645" s="29"/>
      <c r="H645" s="29"/>
      <c r="I645" s="29"/>
      <c r="J645" s="29"/>
      <c r="K645" s="29"/>
      <c r="L645" s="32"/>
      <c r="M645" s="29"/>
      <c r="N645" s="29"/>
      <c r="O645" s="33"/>
      <c r="P645" s="29"/>
      <c r="Q645" s="29"/>
      <c r="R645" s="32"/>
      <c r="S645" s="29"/>
      <c r="T645" s="34"/>
      <c r="U645" s="29"/>
      <c r="V645" s="29"/>
      <c r="W645" s="28"/>
      <c r="X645" s="28"/>
      <c r="Y645" s="35"/>
      <c r="Z645" s="28"/>
      <c r="AA645" s="36"/>
      <c r="AB645" s="36"/>
    </row>
    <row r="646">
      <c r="A646" s="28"/>
      <c r="B646" s="29"/>
      <c r="C646" s="29"/>
      <c r="D646" s="30"/>
      <c r="E646" s="31"/>
      <c r="F646" s="29"/>
      <c r="G646" s="29"/>
      <c r="H646" s="29"/>
      <c r="I646" s="29"/>
      <c r="J646" s="29"/>
      <c r="K646" s="29"/>
      <c r="L646" s="32"/>
      <c r="M646" s="29"/>
      <c r="N646" s="29"/>
      <c r="O646" s="33"/>
      <c r="P646" s="29"/>
      <c r="Q646" s="29"/>
      <c r="R646" s="32"/>
      <c r="S646" s="29"/>
      <c r="T646" s="34"/>
      <c r="U646" s="29"/>
      <c r="V646" s="29"/>
      <c r="W646" s="28"/>
      <c r="X646" s="28"/>
      <c r="Y646" s="35"/>
      <c r="Z646" s="28"/>
      <c r="AA646" s="36"/>
      <c r="AB646" s="36"/>
    </row>
    <row r="647">
      <c r="A647" s="28"/>
      <c r="B647" s="29"/>
      <c r="C647" s="29"/>
      <c r="D647" s="30"/>
      <c r="E647" s="31"/>
      <c r="F647" s="29"/>
      <c r="G647" s="29"/>
      <c r="H647" s="29"/>
      <c r="I647" s="29"/>
      <c r="J647" s="29"/>
      <c r="K647" s="29"/>
      <c r="L647" s="32"/>
      <c r="M647" s="29"/>
      <c r="N647" s="29"/>
      <c r="O647" s="33"/>
      <c r="P647" s="29"/>
      <c r="Q647" s="29"/>
      <c r="R647" s="32"/>
      <c r="S647" s="29"/>
      <c r="T647" s="34"/>
      <c r="U647" s="29"/>
      <c r="V647" s="29"/>
      <c r="W647" s="28"/>
      <c r="X647" s="28"/>
      <c r="Y647" s="35"/>
      <c r="Z647" s="28"/>
      <c r="AA647" s="36"/>
      <c r="AB647" s="36"/>
    </row>
    <row r="648">
      <c r="A648" s="28"/>
      <c r="B648" s="29"/>
      <c r="C648" s="29"/>
      <c r="D648" s="30"/>
      <c r="E648" s="31"/>
      <c r="F648" s="29"/>
      <c r="G648" s="29"/>
      <c r="H648" s="29"/>
      <c r="I648" s="29"/>
      <c r="J648" s="29"/>
      <c r="K648" s="29"/>
      <c r="L648" s="32"/>
      <c r="M648" s="29"/>
      <c r="N648" s="29"/>
      <c r="O648" s="33"/>
      <c r="P648" s="29"/>
      <c r="Q648" s="29"/>
      <c r="R648" s="32"/>
      <c r="S648" s="29"/>
      <c r="T648" s="34"/>
      <c r="U648" s="29"/>
      <c r="V648" s="29"/>
      <c r="W648" s="28"/>
      <c r="X648" s="28"/>
      <c r="Y648" s="35"/>
      <c r="Z648" s="28"/>
      <c r="AA648" s="36"/>
      <c r="AB648" s="36"/>
    </row>
    <row r="649">
      <c r="A649" s="28"/>
      <c r="B649" s="29"/>
      <c r="C649" s="29"/>
      <c r="D649" s="30"/>
      <c r="E649" s="31"/>
      <c r="F649" s="29"/>
      <c r="G649" s="29"/>
      <c r="H649" s="29"/>
      <c r="I649" s="29"/>
      <c r="J649" s="29"/>
      <c r="K649" s="29"/>
      <c r="L649" s="32"/>
      <c r="M649" s="29"/>
      <c r="N649" s="29"/>
      <c r="O649" s="33"/>
      <c r="P649" s="29"/>
      <c r="Q649" s="29"/>
      <c r="R649" s="32"/>
      <c r="S649" s="29"/>
      <c r="T649" s="34"/>
      <c r="U649" s="29"/>
      <c r="V649" s="29"/>
      <c r="W649" s="28"/>
      <c r="X649" s="28"/>
      <c r="Y649" s="35"/>
      <c r="Z649" s="28"/>
      <c r="AA649" s="36"/>
      <c r="AB649" s="36"/>
    </row>
    <row r="650">
      <c r="A650" s="28"/>
      <c r="B650" s="29"/>
      <c r="C650" s="29"/>
      <c r="D650" s="30"/>
      <c r="E650" s="31"/>
      <c r="F650" s="29"/>
      <c r="G650" s="29"/>
      <c r="H650" s="29"/>
      <c r="I650" s="29"/>
      <c r="J650" s="29"/>
      <c r="K650" s="29"/>
      <c r="L650" s="32"/>
      <c r="M650" s="29"/>
      <c r="N650" s="29"/>
      <c r="O650" s="33"/>
      <c r="P650" s="29"/>
      <c r="Q650" s="29"/>
      <c r="R650" s="32"/>
      <c r="S650" s="29"/>
      <c r="T650" s="34"/>
      <c r="U650" s="29"/>
      <c r="V650" s="29"/>
      <c r="W650" s="28"/>
      <c r="X650" s="28"/>
      <c r="Y650" s="35"/>
      <c r="Z650" s="28"/>
      <c r="AA650" s="36"/>
      <c r="AB650" s="36"/>
    </row>
    <row r="651">
      <c r="A651" s="28"/>
      <c r="B651" s="29"/>
      <c r="C651" s="29"/>
      <c r="D651" s="30"/>
      <c r="E651" s="31"/>
      <c r="F651" s="29"/>
      <c r="G651" s="29"/>
      <c r="H651" s="29"/>
      <c r="I651" s="29"/>
      <c r="J651" s="29"/>
      <c r="K651" s="29"/>
      <c r="L651" s="32"/>
      <c r="M651" s="29"/>
      <c r="N651" s="29"/>
      <c r="O651" s="33"/>
      <c r="P651" s="29"/>
      <c r="Q651" s="29"/>
      <c r="R651" s="32"/>
      <c r="S651" s="29"/>
      <c r="T651" s="34"/>
      <c r="U651" s="29"/>
      <c r="V651" s="29"/>
      <c r="W651" s="28"/>
      <c r="X651" s="28"/>
      <c r="Y651" s="35"/>
      <c r="Z651" s="28"/>
      <c r="AA651" s="36"/>
      <c r="AB651" s="36"/>
    </row>
    <row r="652">
      <c r="A652" s="28"/>
      <c r="B652" s="29"/>
      <c r="C652" s="29"/>
      <c r="D652" s="30"/>
      <c r="E652" s="31"/>
      <c r="F652" s="29"/>
      <c r="G652" s="29"/>
      <c r="H652" s="29"/>
      <c r="I652" s="29"/>
      <c r="J652" s="29"/>
      <c r="K652" s="29"/>
      <c r="L652" s="32"/>
      <c r="M652" s="29"/>
      <c r="N652" s="29"/>
      <c r="O652" s="33"/>
      <c r="P652" s="29"/>
      <c r="Q652" s="29"/>
      <c r="R652" s="32"/>
      <c r="S652" s="29"/>
      <c r="T652" s="34"/>
      <c r="U652" s="29"/>
      <c r="V652" s="29"/>
      <c r="W652" s="28"/>
      <c r="X652" s="28"/>
      <c r="Y652" s="35"/>
      <c r="Z652" s="28"/>
      <c r="AA652" s="36"/>
      <c r="AB652" s="36"/>
    </row>
    <row r="653">
      <c r="A653" s="28"/>
      <c r="B653" s="29"/>
      <c r="C653" s="29"/>
      <c r="D653" s="30"/>
      <c r="E653" s="31"/>
      <c r="F653" s="29"/>
      <c r="G653" s="29"/>
      <c r="H653" s="29"/>
      <c r="I653" s="29"/>
      <c r="J653" s="29"/>
      <c r="K653" s="29"/>
      <c r="L653" s="32"/>
      <c r="M653" s="29"/>
      <c r="N653" s="29"/>
      <c r="O653" s="33"/>
      <c r="P653" s="29"/>
      <c r="Q653" s="29"/>
      <c r="R653" s="32"/>
      <c r="S653" s="29"/>
      <c r="T653" s="34"/>
      <c r="U653" s="29"/>
      <c r="V653" s="29"/>
      <c r="W653" s="28"/>
      <c r="X653" s="28"/>
      <c r="Y653" s="35"/>
      <c r="Z653" s="28"/>
      <c r="AA653" s="36"/>
      <c r="AB653" s="36"/>
    </row>
    <row r="654">
      <c r="A654" s="28"/>
      <c r="B654" s="29"/>
      <c r="C654" s="29"/>
      <c r="D654" s="30"/>
      <c r="E654" s="31"/>
      <c r="F654" s="29"/>
      <c r="G654" s="29"/>
      <c r="H654" s="29"/>
      <c r="I654" s="29"/>
      <c r="J654" s="29"/>
      <c r="K654" s="29"/>
      <c r="L654" s="32"/>
      <c r="M654" s="29"/>
      <c r="N654" s="29"/>
      <c r="O654" s="33"/>
      <c r="P654" s="29"/>
      <c r="Q654" s="29"/>
      <c r="R654" s="32"/>
      <c r="S654" s="29"/>
      <c r="T654" s="34"/>
      <c r="U654" s="29"/>
      <c r="V654" s="29"/>
      <c r="W654" s="28"/>
      <c r="X654" s="28"/>
      <c r="Y654" s="35"/>
      <c r="Z654" s="28"/>
      <c r="AA654" s="36"/>
      <c r="AB654" s="36"/>
    </row>
    <row r="655">
      <c r="A655" s="28"/>
      <c r="B655" s="29"/>
      <c r="C655" s="29"/>
      <c r="D655" s="30"/>
      <c r="E655" s="31"/>
      <c r="F655" s="29"/>
      <c r="G655" s="29"/>
      <c r="H655" s="29"/>
      <c r="I655" s="29"/>
      <c r="J655" s="29"/>
      <c r="K655" s="29"/>
      <c r="L655" s="32"/>
      <c r="M655" s="29"/>
      <c r="N655" s="29"/>
      <c r="O655" s="33"/>
      <c r="P655" s="29"/>
      <c r="Q655" s="29"/>
      <c r="R655" s="32"/>
      <c r="S655" s="29"/>
      <c r="T655" s="34"/>
      <c r="U655" s="29"/>
      <c r="V655" s="29"/>
      <c r="W655" s="28"/>
      <c r="X655" s="28"/>
      <c r="Y655" s="35"/>
      <c r="Z655" s="28"/>
      <c r="AA655" s="36"/>
      <c r="AB655" s="36"/>
    </row>
    <row r="656">
      <c r="A656" s="28"/>
      <c r="B656" s="29"/>
      <c r="C656" s="29"/>
      <c r="D656" s="30"/>
      <c r="E656" s="31"/>
      <c r="F656" s="29"/>
      <c r="G656" s="29"/>
      <c r="H656" s="29"/>
      <c r="I656" s="29"/>
      <c r="J656" s="29"/>
      <c r="K656" s="29"/>
      <c r="L656" s="32"/>
      <c r="M656" s="29"/>
      <c r="N656" s="29"/>
      <c r="O656" s="33"/>
      <c r="P656" s="29"/>
      <c r="Q656" s="29"/>
      <c r="R656" s="32"/>
      <c r="S656" s="29"/>
      <c r="T656" s="34"/>
      <c r="U656" s="29"/>
      <c r="V656" s="29"/>
      <c r="W656" s="28"/>
      <c r="X656" s="28"/>
      <c r="Y656" s="35"/>
      <c r="Z656" s="28"/>
      <c r="AA656" s="36"/>
      <c r="AB656" s="36"/>
    </row>
    <row r="657">
      <c r="A657" s="28"/>
      <c r="B657" s="29"/>
      <c r="C657" s="29"/>
      <c r="D657" s="30"/>
      <c r="E657" s="31"/>
      <c r="F657" s="29"/>
      <c r="G657" s="29"/>
      <c r="H657" s="29"/>
      <c r="I657" s="29"/>
      <c r="J657" s="29"/>
      <c r="K657" s="29"/>
      <c r="L657" s="32"/>
      <c r="M657" s="29"/>
      <c r="N657" s="29"/>
      <c r="O657" s="33"/>
      <c r="P657" s="29"/>
      <c r="Q657" s="29"/>
      <c r="R657" s="32"/>
      <c r="S657" s="29"/>
      <c r="T657" s="34"/>
      <c r="U657" s="29"/>
      <c r="V657" s="29"/>
      <c r="W657" s="28"/>
      <c r="X657" s="28"/>
      <c r="Y657" s="35"/>
      <c r="Z657" s="28"/>
      <c r="AA657" s="36"/>
      <c r="AB657" s="36"/>
    </row>
    <row r="658">
      <c r="A658" s="28"/>
      <c r="B658" s="29"/>
      <c r="C658" s="29"/>
      <c r="D658" s="30"/>
      <c r="E658" s="31"/>
      <c r="F658" s="29"/>
      <c r="G658" s="29"/>
      <c r="H658" s="29"/>
      <c r="I658" s="29"/>
      <c r="J658" s="29"/>
      <c r="K658" s="29"/>
      <c r="L658" s="32"/>
      <c r="M658" s="29"/>
      <c r="N658" s="29"/>
      <c r="O658" s="33"/>
      <c r="P658" s="29"/>
      <c r="Q658" s="29"/>
      <c r="R658" s="32"/>
      <c r="S658" s="29"/>
      <c r="T658" s="34"/>
      <c r="U658" s="29"/>
      <c r="V658" s="29"/>
      <c r="W658" s="28"/>
      <c r="X658" s="28"/>
      <c r="Y658" s="35"/>
      <c r="Z658" s="28"/>
      <c r="AA658" s="36"/>
      <c r="AB658" s="36"/>
    </row>
    <row r="659">
      <c r="A659" s="28"/>
      <c r="B659" s="29"/>
      <c r="C659" s="29"/>
      <c r="D659" s="30"/>
      <c r="E659" s="31"/>
      <c r="F659" s="29"/>
      <c r="G659" s="29"/>
      <c r="H659" s="29"/>
      <c r="I659" s="29"/>
      <c r="J659" s="29"/>
      <c r="K659" s="29"/>
      <c r="L659" s="32"/>
      <c r="M659" s="29"/>
      <c r="N659" s="29"/>
      <c r="O659" s="33"/>
      <c r="P659" s="29"/>
      <c r="Q659" s="29"/>
      <c r="R659" s="32"/>
      <c r="S659" s="29"/>
      <c r="T659" s="34"/>
      <c r="U659" s="29"/>
      <c r="V659" s="29"/>
      <c r="W659" s="28"/>
      <c r="X659" s="28"/>
      <c r="Y659" s="35"/>
      <c r="Z659" s="28"/>
      <c r="AA659" s="36"/>
      <c r="AB659" s="36"/>
    </row>
    <row r="660">
      <c r="A660" s="28"/>
      <c r="B660" s="29"/>
      <c r="C660" s="29"/>
      <c r="D660" s="30"/>
      <c r="E660" s="31"/>
      <c r="F660" s="29"/>
      <c r="G660" s="29"/>
      <c r="H660" s="29"/>
      <c r="I660" s="29"/>
      <c r="J660" s="29"/>
      <c r="K660" s="29"/>
      <c r="L660" s="32"/>
      <c r="M660" s="29"/>
      <c r="N660" s="29"/>
      <c r="O660" s="33"/>
      <c r="P660" s="29"/>
      <c r="Q660" s="29"/>
      <c r="R660" s="32"/>
      <c r="S660" s="29"/>
      <c r="T660" s="34"/>
      <c r="U660" s="29"/>
      <c r="V660" s="29"/>
      <c r="W660" s="28"/>
      <c r="X660" s="28"/>
      <c r="Y660" s="35"/>
      <c r="Z660" s="28"/>
      <c r="AA660" s="36"/>
      <c r="AB660" s="36"/>
    </row>
    <row r="661">
      <c r="A661" s="28"/>
      <c r="B661" s="29"/>
      <c r="C661" s="29"/>
      <c r="D661" s="30"/>
      <c r="E661" s="31"/>
      <c r="F661" s="29"/>
      <c r="G661" s="29"/>
      <c r="H661" s="29"/>
      <c r="I661" s="29"/>
      <c r="J661" s="29"/>
      <c r="K661" s="29"/>
      <c r="L661" s="32"/>
      <c r="M661" s="29"/>
      <c r="N661" s="29"/>
      <c r="O661" s="33"/>
      <c r="P661" s="29"/>
      <c r="Q661" s="29"/>
      <c r="R661" s="32"/>
      <c r="S661" s="29"/>
      <c r="T661" s="34"/>
      <c r="U661" s="29"/>
      <c r="V661" s="29"/>
      <c r="W661" s="28"/>
      <c r="X661" s="28"/>
      <c r="Y661" s="35"/>
      <c r="Z661" s="28"/>
      <c r="AA661" s="36"/>
      <c r="AB661" s="36"/>
    </row>
    <row r="662">
      <c r="A662" s="28"/>
      <c r="B662" s="29"/>
      <c r="C662" s="29"/>
      <c r="D662" s="30"/>
      <c r="E662" s="31"/>
      <c r="F662" s="29"/>
      <c r="G662" s="29"/>
      <c r="H662" s="29"/>
      <c r="I662" s="29"/>
      <c r="J662" s="29"/>
      <c r="K662" s="29"/>
      <c r="L662" s="32"/>
      <c r="M662" s="29"/>
      <c r="N662" s="29"/>
      <c r="O662" s="33"/>
      <c r="P662" s="29"/>
      <c r="Q662" s="29"/>
      <c r="R662" s="32"/>
      <c r="S662" s="29"/>
      <c r="T662" s="34"/>
      <c r="U662" s="29"/>
      <c r="V662" s="29"/>
      <c r="W662" s="28"/>
      <c r="X662" s="28"/>
      <c r="Y662" s="35"/>
      <c r="Z662" s="28"/>
      <c r="AA662" s="36"/>
      <c r="AB662" s="36"/>
    </row>
    <row r="663">
      <c r="A663" s="28"/>
      <c r="B663" s="29"/>
      <c r="C663" s="29"/>
      <c r="D663" s="30"/>
      <c r="E663" s="31"/>
      <c r="F663" s="29"/>
      <c r="G663" s="29"/>
      <c r="H663" s="29"/>
      <c r="I663" s="29"/>
      <c r="J663" s="29"/>
      <c r="K663" s="29"/>
      <c r="L663" s="32"/>
      <c r="M663" s="29"/>
      <c r="N663" s="29"/>
      <c r="O663" s="33"/>
      <c r="P663" s="29"/>
      <c r="Q663" s="29"/>
      <c r="R663" s="32"/>
      <c r="S663" s="29"/>
      <c r="T663" s="34"/>
      <c r="U663" s="29"/>
      <c r="V663" s="29"/>
      <c r="W663" s="28"/>
      <c r="X663" s="28"/>
      <c r="Y663" s="35"/>
      <c r="Z663" s="28"/>
      <c r="AA663" s="36"/>
      <c r="AB663" s="36"/>
    </row>
    <row r="664">
      <c r="A664" s="28"/>
      <c r="B664" s="29"/>
      <c r="C664" s="29"/>
      <c r="D664" s="30"/>
      <c r="E664" s="31"/>
      <c r="F664" s="29"/>
      <c r="G664" s="29"/>
      <c r="H664" s="29"/>
      <c r="I664" s="29"/>
      <c r="J664" s="29"/>
      <c r="K664" s="29"/>
      <c r="L664" s="32"/>
      <c r="M664" s="29"/>
      <c r="N664" s="29"/>
      <c r="O664" s="33"/>
      <c r="P664" s="29"/>
      <c r="Q664" s="29"/>
      <c r="R664" s="32"/>
      <c r="S664" s="29"/>
      <c r="T664" s="34"/>
      <c r="U664" s="29"/>
      <c r="V664" s="29"/>
      <c r="W664" s="28"/>
      <c r="X664" s="28"/>
      <c r="Y664" s="35"/>
      <c r="Z664" s="28"/>
      <c r="AA664" s="36"/>
      <c r="AB664" s="36"/>
    </row>
    <row r="665">
      <c r="A665" s="28"/>
      <c r="B665" s="29"/>
      <c r="C665" s="29"/>
      <c r="D665" s="30"/>
      <c r="E665" s="31"/>
      <c r="F665" s="29"/>
      <c r="G665" s="29"/>
      <c r="H665" s="29"/>
      <c r="I665" s="29"/>
      <c r="J665" s="29"/>
      <c r="K665" s="29"/>
      <c r="L665" s="32"/>
      <c r="M665" s="29"/>
      <c r="N665" s="29"/>
      <c r="O665" s="33"/>
      <c r="P665" s="29"/>
      <c r="Q665" s="29"/>
      <c r="R665" s="32"/>
      <c r="S665" s="29"/>
      <c r="T665" s="34"/>
      <c r="U665" s="29"/>
      <c r="V665" s="29"/>
      <c r="W665" s="28"/>
      <c r="X665" s="28"/>
      <c r="Y665" s="35"/>
      <c r="Z665" s="28"/>
      <c r="AA665" s="36"/>
      <c r="AB665" s="36"/>
    </row>
    <row r="666">
      <c r="A666" s="28"/>
      <c r="B666" s="29"/>
      <c r="C666" s="29"/>
      <c r="D666" s="30"/>
      <c r="E666" s="31"/>
      <c r="F666" s="29"/>
      <c r="G666" s="29"/>
      <c r="H666" s="29"/>
      <c r="I666" s="29"/>
      <c r="J666" s="29"/>
      <c r="K666" s="29"/>
      <c r="L666" s="32"/>
      <c r="M666" s="29"/>
      <c r="N666" s="29"/>
      <c r="O666" s="33"/>
      <c r="P666" s="29"/>
      <c r="Q666" s="29"/>
      <c r="R666" s="32"/>
      <c r="S666" s="29"/>
      <c r="T666" s="34"/>
      <c r="U666" s="29"/>
      <c r="V666" s="29"/>
      <c r="W666" s="28"/>
      <c r="X666" s="28"/>
      <c r="Y666" s="35"/>
      <c r="Z666" s="28"/>
      <c r="AA666" s="36"/>
      <c r="AB666" s="36"/>
    </row>
    <row r="667">
      <c r="A667" s="28"/>
      <c r="B667" s="29"/>
      <c r="C667" s="29"/>
      <c r="D667" s="30"/>
      <c r="E667" s="31"/>
      <c r="F667" s="29"/>
      <c r="G667" s="29"/>
      <c r="H667" s="29"/>
      <c r="I667" s="29"/>
      <c r="J667" s="29"/>
      <c r="K667" s="29"/>
      <c r="L667" s="32"/>
      <c r="M667" s="29"/>
      <c r="N667" s="29"/>
      <c r="O667" s="33"/>
      <c r="P667" s="29"/>
      <c r="Q667" s="29"/>
      <c r="R667" s="32"/>
      <c r="S667" s="29"/>
      <c r="T667" s="34"/>
      <c r="U667" s="29"/>
      <c r="V667" s="29"/>
      <c r="W667" s="28"/>
      <c r="X667" s="28"/>
      <c r="Y667" s="35"/>
      <c r="Z667" s="28"/>
      <c r="AA667" s="36"/>
      <c r="AB667" s="36"/>
    </row>
    <row r="668">
      <c r="A668" s="28"/>
      <c r="B668" s="29"/>
      <c r="C668" s="29"/>
      <c r="D668" s="30"/>
      <c r="E668" s="31"/>
      <c r="F668" s="29"/>
      <c r="G668" s="29"/>
      <c r="H668" s="29"/>
      <c r="I668" s="29"/>
      <c r="J668" s="29"/>
      <c r="K668" s="29"/>
      <c r="L668" s="32"/>
      <c r="M668" s="29"/>
      <c r="N668" s="29"/>
      <c r="O668" s="33"/>
      <c r="P668" s="29"/>
      <c r="Q668" s="29"/>
      <c r="R668" s="32"/>
      <c r="S668" s="29"/>
      <c r="T668" s="34"/>
      <c r="U668" s="29"/>
      <c r="V668" s="29"/>
      <c r="W668" s="28"/>
      <c r="X668" s="28"/>
      <c r="Y668" s="35"/>
      <c r="Z668" s="28"/>
      <c r="AA668" s="36"/>
      <c r="AB668" s="36"/>
    </row>
    <row r="669">
      <c r="A669" s="28"/>
      <c r="B669" s="29"/>
      <c r="C669" s="29"/>
      <c r="D669" s="30"/>
      <c r="E669" s="31"/>
      <c r="F669" s="29"/>
      <c r="G669" s="29"/>
      <c r="H669" s="29"/>
      <c r="I669" s="29"/>
      <c r="J669" s="29"/>
      <c r="K669" s="29"/>
      <c r="L669" s="32"/>
      <c r="M669" s="29"/>
      <c r="N669" s="29"/>
      <c r="O669" s="33"/>
      <c r="P669" s="29"/>
      <c r="Q669" s="29"/>
      <c r="R669" s="32"/>
      <c r="S669" s="29"/>
      <c r="T669" s="34"/>
      <c r="U669" s="29"/>
      <c r="V669" s="29"/>
      <c r="W669" s="28"/>
      <c r="X669" s="28"/>
      <c r="Y669" s="35"/>
      <c r="Z669" s="28"/>
      <c r="AA669" s="36"/>
      <c r="AB669" s="36"/>
    </row>
    <row r="670">
      <c r="A670" s="28"/>
      <c r="B670" s="29"/>
      <c r="C670" s="29"/>
      <c r="D670" s="30"/>
      <c r="E670" s="31"/>
      <c r="F670" s="29"/>
      <c r="G670" s="29"/>
      <c r="H670" s="29"/>
      <c r="I670" s="29"/>
      <c r="J670" s="29"/>
      <c r="K670" s="29"/>
      <c r="L670" s="32"/>
      <c r="M670" s="29"/>
      <c r="N670" s="29"/>
      <c r="O670" s="33"/>
      <c r="P670" s="29"/>
      <c r="Q670" s="29"/>
      <c r="R670" s="32"/>
      <c r="S670" s="29"/>
      <c r="T670" s="34"/>
      <c r="U670" s="29"/>
      <c r="V670" s="29"/>
      <c r="W670" s="28"/>
      <c r="X670" s="28"/>
      <c r="Y670" s="35"/>
      <c r="Z670" s="28"/>
      <c r="AA670" s="36"/>
      <c r="AB670" s="36"/>
    </row>
    <row r="671">
      <c r="A671" s="28"/>
      <c r="B671" s="29"/>
      <c r="C671" s="29"/>
      <c r="D671" s="30"/>
      <c r="E671" s="31"/>
      <c r="F671" s="29"/>
      <c r="G671" s="29"/>
      <c r="H671" s="29"/>
      <c r="I671" s="29"/>
      <c r="J671" s="29"/>
      <c r="K671" s="29"/>
      <c r="L671" s="32"/>
      <c r="M671" s="29"/>
      <c r="N671" s="29"/>
      <c r="O671" s="33"/>
      <c r="P671" s="29"/>
      <c r="Q671" s="29"/>
      <c r="R671" s="32"/>
      <c r="S671" s="29"/>
      <c r="T671" s="34"/>
      <c r="U671" s="29"/>
      <c r="V671" s="29"/>
      <c r="W671" s="28"/>
      <c r="X671" s="28"/>
      <c r="Y671" s="35"/>
      <c r="Z671" s="28"/>
      <c r="AA671" s="36"/>
      <c r="AB671" s="36"/>
    </row>
    <row r="672">
      <c r="A672" s="28"/>
      <c r="B672" s="29"/>
      <c r="C672" s="29"/>
      <c r="D672" s="30"/>
      <c r="E672" s="31"/>
      <c r="F672" s="29"/>
      <c r="G672" s="29"/>
      <c r="H672" s="29"/>
      <c r="I672" s="29"/>
      <c r="J672" s="29"/>
      <c r="K672" s="29"/>
      <c r="L672" s="32"/>
      <c r="M672" s="29"/>
      <c r="N672" s="29"/>
      <c r="O672" s="33"/>
      <c r="P672" s="29"/>
      <c r="Q672" s="29"/>
      <c r="R672" s="32"/>
      <c r="S672" s="29"/>
      <c r="T672" s="34"/>
      <c r="U672" s="29"/>
      <c r="V672" s="29"/>
      <c r="W672" s="28"/>
      <c r="X672" s="28"/>
      <c r="Y672" s="35"/>
      <c r="Z672" s="28"/>
      <c r="AA672" s="36"/>
      <c r="AB672" s="36"/>
    </row>
    <row r="673">
      <c r="A673" s="28"/>
      <c r="B673" s="29"/>
      <c r="C673" s="29"/>
      <c r="D673" s="30"/>
      <c r="E673" s="31"/>
      <c r="F673" s="29"/>
      <c r="G673" s="29"/>
      <c r="H673" s="29"/>
      <c r="I673" s="29"/>
      <c r="J673" s="29"/>
      <c r="K673" s="29"/>
      <c r="L673" s="32"/>
      <c r="M673" s="29"/>
      <c r="N673" s="29"/>
      <c r="O673" s="33"/>
      <c r="P673" s="29"/>
      <c r="Q673" s="29"/>
      <c r="R673" s="32"/>
      <c r="S673" s="29"/>
      <c r="T673" s="34"/>
      <c r="U673" s="29"/>
      <c r="V673" s="29"/>
      <c r="W673" s="28"/>
      <c r="X673" s="28"/>
      <c r="Y673" s="35"/>
      <c r="Z673" s="28"/>
      <c r="AA673" s="36"/>
      <c r="AB673" s="36"/>
    </row>
    <row r="674">
      <c r="A674" s="28"/>
      <c r="B674" s="29"/>
      <c r="C674" s="29"/>
      <c r="D674" s="30"/>
      <c r="E674" s="31"/>
      <c r="F674" s="29"/>
      <c r="G674" s="29"/>
      <c r="H674" s="29"/>
      <c r="I674" s="29"/>
      <c r="J674" s="29"/>
      <c r="K674" s="29"/>
      <c r="L674" s="32"/>
      <c r="M674" s="29"/>
      <c r="N674" s="29"/>
      <c r="O674" s="33"/>
      <c r="P674" s="29"/>
      <c r="Q674" s="29"/>
      <c r="R674" s="32"/>
      <c r="S674" s="29"/>
      <c r="T674" s="34"/>
      <c r="U674" s="29"/>
      <c r="V674" s="29"/>
      <c r="W674" s="28"/>
      <c r="X674" s="28"/>
      <c r="Y674" s="35"/>
      <c r="Z674" s="28"/>
      <c r="AA674" s="36"/>
      <c r="AB674" s="36"/>
    </row>
    <row r="675">
      <c r="A675" s="28"/>
      <c r="B675" s="29"/>
      <c r="C675" s="29"/>
      <c r="D675" s="30"/>
      <c r="E675" s="31"/>
      <c r="F675" s="29"/>
      <c r="G675" s="29"/>
      <c r="H675" s="29"/>
      <c r="I675" s="29"/>
      <c r="J675" s="29"/>
      <c r="K675" s="29"/>
      <c r="L675" s="32"/>
      <c r="M675" s="29"/>
      <c r="N675" s="29"/>
      <c r="O675" s="33"/>
      <c r="P675" s="29"/>
      <c r="Q675" s="29"/>
      <c r="R675" s="32"/>
      <c r="S675" s="29"/>
      <c r="T675" s="34"/>
      <c r="U675" s="29"/>
      <c r="V675" s="29"/>
      <c r="W675" s="28"/>
      <c r="X675" s="28"/>
      <c r="Y675" s="35"/>
      <c r="Z675" s="28"/>
      <c r="AA675" s="36"/>
      <c r="AB675" s="36"/>
    </row>
    <row r="676">
      <c r="A676" s="28"/>
      <c r="B676" s="29"/>
      <c r="C676" s="29"/>
      <c r="D676" s="30"/>
      <c r="E676" s="31"/>
      <c r="F676" s="29"/>
      <c r="G676" s="29"/>
      <c r="H676" s="29"/>
      <c r="I676" s="29"/>
      <c r="J676" s="29"/>
      <c r="K676" s="29"/>
      <c r="L676" s="32"/>
      <c r="M676" s="29"/>
      <c r="N676" s="29"/>
      <c r="O676" s="33"/>
      <c r="P676" s="29"/>
      <c r="Q676" s="29"/>
      <c r="R676" s="32"/>
      <c r="S676" s="29"/>
      <c r="T676" s="34"/>
      <c r="U676" s="29"/>
      <c r="V676" s="29"/>
      <c r="W676" s="28"/>
      <c r="X676" s="28"/>
      <c r="Y676" s="35"/>
      <c r="Z676" s="28"/>
      <c r="AA676" s="36"/>
      <c r="AB676" s="36"/>
    </row>
    <row r="677">
      <c r="A677" s="28"/>
      <c r="B677" s="29"/>
      <c r="C677" s="29"/>
      <c r="D677" s="30"/>
      <c r="E677" s="31"/>
      <c r="F677" s="29"/>
      <c r="G677" s="29"/>
      <c r="H677" s="29"/>
      <c r="I677" s="29"/>
      <c r="J677" s="29"/>
      <c r="K677" s="29"/>
      <c r="L677" s="32"/>
      <c r="M677" s="29"/>
      <c r="N677" s="29"/>
      <c r="O677" s="33"/>
      <c r="P677" s="29"/>
      <c r="Q677" s="29"/>
      <c r="R677" s="32"/>
      <c r="S677" s="29"/>
      <c r="T677" s="34"/>
      <c r="U677" s="29"/>
      <c r="V677" s="29"/>
      <c r="W677" s="28"/>
      <c r="X677" s="28"/>
      <c r="Y677" s="35"/>
      <c r="Z677" s="28"/>
      <c r="AA677" s="36"/>
      <c r="AB677" s="36"/>
    </row>
    <row r="678">
      <c r="A678" s="28"/>
      <c r="B678" s="29"/>
      <c r="C678" s="29"/>
      <c r="D678" s="30"/>
      <c r="E678" s="31"/>
      <c r="F678" s="29"/>
      <c r="G678" s="29"/>
      <c r="H678" s="29"/>
      <c r="I678" s="29"/>
      <c r="J678" s="29"/>
      <c r="K678" s="29"/>
      <c r="L678" s="32"/>
      <c r="M678" s="29"/>
      <c r="N678" s="29"/>
      <c r="O678" s="33"/>
      <c r="P678" s="29"/>
      <c r="Q678" s="29"/>
      <c r="R678" s="32"/>
      <c r="S678" s="29"/>
      <c r="T678" s="34"/>
      <c r="U678" s="29"/>
      <c r="V678" s="29"/>
      <c r="W678" s="28"/>
      <c r="X678" s="28"/>
      <c r="Y678" s="35"/>
      <c r="Z678" s="28"/>
      <c r="AA678" s="36"/>
      <c r="AB678" s="36"/>
    </row>
    <row r="679">
      <c r="A679" s="28"/>
      <c r="B679" s="29"/>
      <c r="C679" s="29"/>
      <c r="D679" s="30"/>
      <c r="E679" s="31"/>
      <c r="F679" s="29"/>
      <c r="G679" s="29"/>
      <c r="H679" s="29"/>
      <c r="I679" s="29"/>
      <c r="J679" s="29"/>
      <c r="K679" s="29"/>
      <c r="L679" s="32"/>
      <c r="M679" s="29"/>
      <c r="N679" s="29"/>
      <c r="O679" s="33"/>
      <c r="P679" s="29"/>
      <c r="Q679" s="29"/>
      <c r="R679" s="32"/>
      <c r="S679" s="29"/>
      <c r="T679" s="34"/>
      <c r="U679" s="29"/>
      <c r="V679" s="29"/>
      <c r="W679" s="28"/>
      <c r="X679" s="28"/>
      <c r="Y679" s="35"/>
      <c r="Z679" s="28"/>
      <c r="AA679" s="36"/>
      <c r="AB679" s="36"/>
    </row>
    <row r="680">
      <c r="A680" s="28"/>
      <c r="B680" s="29"/>
      <c r="C680" s="29"/>
      <c r="D680" s="30"/>
      <c r="E680" s="31"/>
      <c r="F680" s="29"/>
      <c r="G680" s="29"/>
      <c r="H680" s="29"/>
      <c r="I680" s="29"/>
      <c r="J680" s="29"/>
      <c r="K680" s="29"/>
      <c r="L680" s="32"/>
      <c r="M680" s="29"/>
      <c r="N680" s="29"/>
      <c r="O680" s="33"/>
      <c r="P680" s="29"/>
      <c r="Q680" s="29"/>
      <c r="R680" s="32"/>
      <c r="S680" s="29"/>
      <c r="T680" s="34"/>
      <c r="U680" s="29"/>
      <c r="V680" s="29"/>
      <c r="W680" s="28"/>
      <c r="X680" s="28"/>
      <c r="Y680" s="35"/>
      <c r="Z680" s="28"/>
      <c r="AA680" s="36"/>
      <c r="AB680" s="36"/>
    </row>
    <row r="681">
      <c r="A681" s="28"/>
      <c r="B681" s="29"/>
      <c r="C681" s="29"/>
      <c r="D681" s="30"/>
      <c r="E681" s="31"/>
      <c r="F681" s="29"/>
      <c r="G681" s="29"/>
      <c r="H681" s="29"/>
      <c r="I681" s="29"/>
      <c r="J681" s="29"/>
      <c r="K681" s="29"/>
      <c r="L681" s="32"/>
      <c r="M681" s="29"/>
      <c r="N681" s="29"/>
      <c r="O681" s="33"/>
      <c r="P681" s="29"/>
      <c r="Q681" s="29"/>
      <c r="R681" s="32"/>
      <c r="S681" s="29"/>
      <c r="T681" s="34"/>
      <c r="U681" s="29"/>
      <c r="V681" s="29"/>
      <c r="W681" s="28"/>
      <c r="X681" s="28"/>
      <c r="Y681" s="35"/>
      <c r="Z681" s="28"/>
      <c r="AA681" s="36"/>
      <c r="AB681" s="36"/>
    </row>
    <row r="682">
      <c r="A682" s="28"/>
      <c r="B682" s="29"/>
      <c r="C682" s="29"/>
      <c r="D682" s="30"/>
      <c r="E682" s="31"/>
      <c r="F682" s="29"/>
      <c r="G682" s="29"/>
      <c r="H682" s="29"/>
      <c r="I682" s="29"/>
      <c r="J682" s="29"/>
      <c r="K682" s="29"/>
      <c r="L682" s="32"/>
      <c r="M682" s="29"/>
      <c r="N682" s="29"/>
      <c r="O682" s="33"/>
      <c r="P682" s="29"/>
      <c r="Q682" s="29"/>
      <c r="R682" s="32"/>
      <c r="S682" s="29"/>
      <c r="T682" s="34"/>
      <c r="U682" s="29"/>
      <c r="V682" s="29"/>
      <c r="W682" s="28"/>
      <c r="X682" s="28"/>
      <c r="Y682" s="35"/>
      <c r="Z682" s="28"/>
      <c r="AA682" s="36"/>
      <c r="AB682" s="36"/>
    </row>
    <row r="683">
      <c r="A683" s="28"/>
      <c r="B683" s="29"/>
      <c r="C683" s="29"/>
      <c r="D683" s="30"/>
      <c r="E683" s="31"/>
      <c r="F683" s="29"/>
      <c r="G683" s="29"/>
      <c r="H683" s="29"/>
      <c r="I683" s="29"/>
      <c r="J683" s="29"/>
      <c r="K683" s="29"/>
      <c r="L683" s="32"/>
      <c r="M683" s="29"/>
      <c r="N683" s="29"/>
      <c r="O683" s="33"/>
      <c r="P683" s="29"/>
      <c r="Q683" s="29"/>
      <c r="R683" s="32"/>
      <c r="S683" s="29"/>
      <c r="T683" s="34"/>
      <c r="U683" s="29"/>
      <c r="V683" s="29"/>
      <c r="W683" s="28"/>
      <c r="X683" s="28"/>
      <c r="Y683" s="35"/>
      <c r="Z683" s="28"/>
      <c r="AA683" s="36"/>
      <c r="AB683" s="36"/>
    </row>
    <row r="684">
      <c r="A684" s="28"/>
      <c r="B684" s="29"/>
      <c r="C684" s="29"/>
      <c r="D684" s="30"/>
      <c r="E684" s="31"/>
      <c r="F684" s="29"/>
      <c r="G684" s="29"/>
      <c r="H684" s="29"/>
      <c r="I684" s="29"/>
      <c r="J684" s="29"/>
      <c r="K684" s="29"/>
      <c r="L684" s="32"/>
      <c r="M684" s="29"/>
      <c r="N684" s="29"/>
      <c r="O684" s="33"/>
      <c r="P684" s="29"/>
      <c r="Q684" s="29"/>
      <c r="R684" s="32"/>
      <c r="S684" s="29"/>
      <c r="T684" s="34"/>
      <c r="U684" s="29"/>
      <c r="V684" s="29"/>
      <c r="W684" s="28"/>
      <c r="X684" s="28"/>
      <c r="Y684" s="35"/>
      <c r="Z684" s="28"/>
      <c r="AA684" s="36"/>
      <c r="AB684" s="36"/>
    </row>
    <row r="685">
      <c r="A685" s="28"/>
      <c r="B685" s="29"/>
      <c r="C685" s="29"/>
      <c r="D685" s="30"/>
      <c r="E685" s="31"/>
      <c r="F685" s="29"/>
      <c r="G685" s="29"/>
      <c r="H685" s="29"/>
      <c r="I685" s="29"/>
      <c r="J685" s="29"/>
      <c r="K685" s="29"/>
      <c r="L685" s="32"/>
      <c r="M685" s="29"/>
      <c r="N685" s="29"/>
      <c r="O685" s="33"/>
      <c r="P685" s="29"/>
      <c r="Q685" s="29"/>
      <c r="R685" s="32"/>
      <c r="S685" s="29"/>
      <c r="T685" s="34"/>
      <c r="U685" s="29"/>
      <c r="V685" s="29"/>
      <c r="W685" s="28"/>
      <c r="X685" s="28"/>
      <c r="Y685" s="35"/>
      <c r="Z685" s="28"/>
      <c r="AA685" s="36"/>
      <c r="AB685" s="36"/>
    </row>
    <row r="686">
      <c r="A686" s="28"/>
      <c r="B686" s="29"/>
      <c r="C686" s="29"/>
      <c r="D686" s="30"/>
      <c r="E686" s="31"/>
      <c r="F686" s="29"/>
      <c r="G686" s="29"/>
      <c r="H686" s="29"/>
      <c r="I686" s="29"/>
      <c r="J686" s="29"/>
      <c r="K686" s="29"/>
      <c r="L686" s="32"/>
      <c r="M686" s="29"/>
      <c r="N686" s="29"/>
      <c r="O686" s="33"/>
      <c r="P686" s="29"/>
      <c r="Q686" s="29"/>
      <c r="R686" s="32"/>
      <c r="S686" s="29"/>
      <c r="T686" s="34"/>
      <c r="U686" s="29"/>
      <c r="V686" s="29"/>
      <c r="W686" s="28"/>
      <c r="X686" s="28"/>
      <c r="Y686" s="35"/>
      <c r="Z686" s="28"/>
      <c r="AA686" s="36"/>
      <c r="AB686" s="36"/>
    </row>
    <row r="687">
      <c r="A687" s="28"/>
      <c r="B687" s="29"/>
      <c r="C687" s="29"/>
      <c r="D687" s="30"/>
      <c r="E687" s="31"/>
      <c r="F687" s="29"/>
      <c r="G687" s="29"/>
      <c r="H687" s="29"/>
      <c r="I687" s="29"/>
      <c r="J687" s="29"/>
      <c r="K687" s="29"/>
      <c r="L687" s="32"/>
      <c r="M687" s="29"/>
      <c r="N687" s="29"/>
      <c r="O687" s="33"/>
      <c r="P687" s="29"/>
      <c r="Q687" s="29"/>
      <c r="R687" s="32"/>
      <c r="S687" s="29"/>
      <c r="T687" s="34"/>
      <c r="U687" s="29"/>
      <c r="V687" s="29"/>
      <c r="W687" s="28"/>
      <c r="X687" s="28"/>
      <c r="Y687" s="35"/>
      <c r="Z687" s="28"/>
      <c r="AA687" s="36"/>
      <c r="AB687" s="36"/>
    </row>
    <row r="688">
      <c r="A688" s="28"/>
      <c r="B688" s="29"/>
      <c r="C688" s="29"/>
      <c r="D688" s="30"/>
      <c r="E688" s="31"/>
      <c r="F688" s="29"/>
      <c r="G688" s="29"/>
      <c r="H688" s="29"/>
      <c r="I688" s="29"/>
      <c r="J688" s="29"/>
      <c r="K688" s="29"/>
      <c r="L688" s="32"/>
      <c r="M688" s="29"/>
      <c r="N688" s="29"/>
      <c r="O688" s="33"/>
      <c r="P688" s="29"/>
      <c r="Q688" s="29"/>
      <c r="R688" s="32"/>
      <c r="S688" s="29"/>
      <c r="T688" s="34"/>
      <c r="U688" s="29"/>
      <c r="V688" s="29"/>
      <c r="W688" s="28"/>
      <c r="X688" s="28"/>
      <c r="Y688" s="35"/>
      <c r="Z688" s="28"/>
      <c r="AA688" s="36"/>
      <c r="AB688" s="36"/>
    </row>
    <row r="689">
      <c r="A689" s="28"/>
      <c r="B689" s="29"/>
      <c r="C689" s="29"/>
      <c r="D689" s="30"/>
      <c r="E689" s="31"/>
      <c r="F689" s="29"/>
      <c r="G689" s="29"/>
      <c r="H689" s="29"/>
      <c r="I689" s="29"/>
      <c r="J689" s="29"/>
      <c r="K689" s="29"/>
      <c r="L689" s="32"/>
      <c r="M689" s="29"/>
      <c r="N689" s="29"/>
      <c r="O689" s="33"/>
      <c r="P689" s="29"/>
      <c r="Q689" s="29"/>
      <c r="R689" s="32"/>
      <c r="S689" s="29"/>
      <c r="T689" s="34"/>
      <c r="U689" s="29"/>
      <c r="V689" s="29"/>
      <c r="W689" s="28"/>
      <c r="X689" s="28"/>
      <c r="Y689" s="35"/>
      <c r="Z689" s="28"/>
      <c r="AA689" s="36"/>
      <c r="AB689" s="36"/>
    </row>
    <row r="690">
      <c r="A690" s="28"/>
      <c r="B690" s="29"/>
      <c r="C690" s="29"/>
      <c r="D690" s="30"/>
      <c r="E690" s="31"/>
      <c r="F690" s="29"/>
      <c r="G690" s="29"/>
      <c r="H690" s="29"/>
      <c r="I690" s="29"/>
      <c r="J690" s="29"/>
      <c r="K690" s="29"/>
      <c r="L690" s="32"/>
      <c r="M690" s="29"/>
      <c r="N690" s="29"/>
      <c r="O690" s="33"/>
      <c r="P690" s="29"/>
      <c r="Q690" s="29"/>
      <c r="R690" s="32"/>
      <c r="S690" s="29"/>
      <c r="T690" s="34"/>
      <c r="U690" s="29"/>
      <c r="V690" s="29"/>
      <c r="W690" s="28"/>
      <c r="X690" s="28"/>
      <c r="Y690" s="35"/>
      <c r="Z690" s="28"/>
      <c r="AA690" s="36"/>
      <c r="AB690" s="36"/>
    </row>
    <row r="691">
      <c r="A691" s="28"/>
      <c r="B691" s="29"/>
      <c r="C691" s="29"/>
      <c r="D691" s="30"/>
      <c r="E691" s="31"/>
      <c r="F691" s="29"/>
      <c r="G691" s="29"/>
      <c r="H691" s="29"/>
      <c r="I691" s="29"/>
      <c r="J691" s="29"/>
      <c r="K691" s="29"/>
      <c r="L691" s="32"/>
      <c r="M691" s="29"/>
      <c r="N691" s="29"/>
      <c r="O691" s="33"/>
      <c r="P691" s="29"/>
      <c r="Q691" s="29"/>
      <c r="R691" s="32"/>
      <c r="S691" s="29"/>
      <c r="T691" s="34"/>
      <c r="U691" s="29"/>
      <c r="V691" s="29"/>
      <c r="W691" s="28"/>
      <c r="X691" s="28"/>
      <c r="Y691" s="35"/>
      <c r="Z691" s="28"/>
      <c r="AA691" s="36"/>
      <c r="AB691" s="36"/>
    </row>
    <row r="692">
      <c r="A692" s="28"/>
      <c r="B692" s="29"/>
      <c r="C692" s="29"/>
      <c r="D692" s="30"/>
      <c r="E692" s="31"/>
      <c r="F692" s="29"/>
      <c r="G692" s="29"/>
      <c r="H692" s="29"/>
      <c r="I692" s="29"/>
      <c r="J692" s="29"/>
      <c r="K692" s="29"/>
      <c r="L692" s="32"/>
      <c r="M692" s="29"/>
      <c r="N692" s="29"/>
      <c r="O692" s="33"/>
      <c r="P692" s="29"/>
      <c r="Q692" s="29"/>
      <c r="R692" s="32"/>
      <c r="S692" s="29"/>
      <c r="T692" s="34"/>
      <c r="U692" s="29"/>
      <c r="V692" s="29"/>
      <c r="W692" s="28"/>
      <c r="X692" s="28"/>
      <c r="Y692" s="35"/>
      <c r="Z692" s="28"/>
      <c r="AA692" s="36"/>
      <c r="AB692" s="36"/>
    </row>
    <row r="693">
      <c r="A693" s="28"/>
      <c r="B693" s="29"/>
      <c r="C693" s="29"/>
      <c r="D693" s="30"/>
      <c r="E693" s="31"/>
      <c r="F693" s="29"/>
      <c r="G693" s="29"/>
      <c r="H693" s="29"/>
      <c r="I693" s="29"/>
      <c r="J693" s="29"/>
      <c r="K693" s="29"/>
      <c r="L693" s="32"/>
      <c r="M693" s="29"/>
      <c r="N693" s="29"/>
      <c r="O693" s="33"/>
      <c r="P693" s="29"/>
      <c r="Q693" s="29"/>
      <c r="R693" s="32"/>
      <c r="S693" s="29"/>
      <c r="T693" s="34"/>
      <c r="U693" s="29"/>
      <c r="V693" s="29"/>
      <c r="W693" s="28"/>
      <c r="X693" s="28"/>
      <c r="Y693" s="35"/>
      <c r="Z693" s="28"/>
      <c r="AA693" s="36"/>
      <c r="AB693" s="36"/>
    </row>
    <row r="694">
      <c r="A694" s="28"/>
      <c r="B694" s="29"/>
      <c r="C694" s="29"/>
      <c r="D694" s="30"/>
      <c r="E694" s="31"/>
      <c r="F694" s="29"/>
      <c r="G694" s="29"/>
      <c r="H694" s="29"/>
      <c r="I694" s="29"/>
      <c r="J694" s="29"/>
      <c r="K694" s="29"/>
      <c r="L694" s="32"/>
      <c r="M694" s="29"/>
      <c r="N694" s="29"/>
      <c r="O694" s="33"/>
      <c r="P694" s="29"/>
      <c r="Q694" s="29"/>
      <c r="R694" s="32"/>
      <c r="S694" s="29"/>
      <c r="T694" s="34"/>
      <c r="U694" s="29"/>
      <c r="V694" s="29"/>
      <c r="W694" s="28"/>
      <c r="X694" s="28"/>
      <c r="Y694" s="35"/>
      <c r="Z694" s="28"/>
      <c r="AA694" s="36"/>
      <c r="AB694" s="36"/>
    </row>
    <row r="695">
      <c r="A695" s="28"/>
      <c r="B695" s="29"/>
      <c r="C695" s="29"/>
      <c r="D695" s="30"/>
      <c r="E695" s="31"/>
      <c r="F695" s="29"/>
      <c r="G695" s="29"/>
      <c r="H695" s="29"/>
      <c r="I695" s="29"/>
      <c r="J695" s="29"/>
      <c r="K695" s="29"/>
      <c r="L695" s="32"/>
      <c r="M695" s="29"/>
      <c r="N695" s="29"/>
      <c r="O695" s="33"/>
      <c r="P695" s="29"/>
      <c r="Q695" s="29"/>
      <c r="R695" s="32"/>
      <c r="S695" s="29"/>
      <c r="T695" s="34"/>
      <c r="U695" s="29"/>
      <c r="V695" s="29"/>
      <c r="W695" s="28"/>
      <c r="X695" s="28"/>
      <c r="Y695" s="35"/>
      <c r="Z695" s="28"/>
      <c r="AA695" s="36"/>
      <c r="AB695" s="36"/>
    </row>
    <row r="696">
      <c r="A696" s="28"/>
      <c r="B696" s="29"/>
      <c r="C696" s="29"/>
      <c r="D696" s="30"/>
      <c r="E696" s="31"/>
      <c r="F696" s="29"/>
      <c r="G696" s="29"/>
      <c r="H696" s="29"/>
      <c r="I696" s="29"/>
      <c r="J696" s="29"/>
      <c r="K696" s="29"/>
      <c r="L696" s="32"/>
      <c r="M696" s="29"/>
      <c r="N696" s="29"/>
      <c r="O696" s="33"/>
      <c r="P696" s="29"/>
      <c r="Q696" s="29"/>
      <c r="R696" s="32"/>
      <c r="S696" s="29"/>
      <c r="T696" s="34"/>
      <c r="U696" s="29"/>
      <c r="V696" s="29"/>
      <c r="W696" s="28"/>
      <c r="X696" s="28"/>
      <c r="Y696" s="35"/>
      <c r="Z696" s="28"/>
      <c r="AA696" s="36"/>
      <c r="AB696" s="36"/>
    </row>
    <row r="697">
      <c r="A697" s="28"/>
      <c r="B697" s="29"/>
      <c r="C697" s="29"/>
      <c r="D697" s="30"/>
      <c r="E697" s="31"/>
      <c r="F697" s="29"/>
      <c r="G697" s="29"/>
      <c r="H697" s="29"/>
      <c r="I697" s="29"/>
      <c r="J697" s="29"/>
      <c r="K697" s="29"/>
      <c r="L697" s="32"/>
      <c r="M697" s="29"/>
      <c r="N697" s="29"/>
      <c r="O697" s="33"/>
      <c r="P697" s="29"/>
      <c r="Q697" s="29"/>
      <c r="R697" s="32"/>
      <c r="S697" s="29"/>
      <c r="T697" s="34"/>
      <c r="U697" s="29"/>
      <c r="V697" s="29"/>
      <c r="W697" s="28"/>
      <c r="X697" s="28"/>
      <c r="Y697" s="35"/>
      <c r="Z697" s="28"/>
      <c r="AA697" s="36"/>
      <c r="AB697" s="36"/>
    </row>
    <row r="698">
      <c r="A698" s="28"/>
      <c r="B698" s="29"/>
      <c r="C698" s="29"/>
      <c r="D698" s="30"/>
      <c r="E698" s="31"/>
      <c r="F698" s="29"/>
      <c r="G698" s="29"/>
      <c r="H698" s="29"/>
      <c r="I698" s="29"/>
      <c r="J698" s="29"/>
      <c r="K698" s="29"/>
      <c r="L698" s="32"/>
      <c r="M698" s="29"/>
      <c r="N698" s="29"/>
      <c r="O698" s="33"/>
      <c r="P698" s="29"/>
      <c r="Q698" s="29"/>
      <c r="R698" s="32"/>
      <c r="S698" s="29"/>
      <c r="T698" s="34"/>
      <c r="U698" s="29"/>
      <c r="V698" s="29"/>
      <c r="W698" s="28"/>
      <c r="X698" s="28"/>
      <c r="Y698" s="35"/>
      <c r="Z698" s="28"/>
      <c r="AA698" s="36"/>
      <c r="AB698" s="36"/>
    </row>
    <row r="699">
      <c r="A699" s="28"/>
      <c r="B699" s="29"/>
      <c r="C699" s="29"/>
      <c r="D699" s="30"/>
      <c r="E699" s="31"/>
      <c r="F699" s="29"/>
      <c r="G699" s="29"/>
      <c r="H699" s="29"/>
      <c r="I699" s="29"/>
      <c r="J699" s="29"/>
      <c r="K699" s="29"/>
      <c r="L699" s="32"/>
      <c r="M699" s="29"/>
      <c r="N699" s="29"/>
      <c r="O699" s="33"/>
      <c r="P699" s="29"/>
      <c r="Q699" s="29"/>
      <c r="R699" s="32"/>
      <c r="S699" s="29"/>
      <c r="T699" s="34"/>
      <c r="U699" s="29"/>
      <c r="V699" s="29"/>
      <c r="W699" s="28"/>
      <c r="X699" s="28"/>
      <c r="Y699" s="35"/>
      <c r="Z699" s="28"/>
      <c r="AA699" s="36"/>
      <c r="AB699" s="36"/>
    </row>
    <row r="700">
      <c r="A700" s="28"/>
      <c r="B700" s="29"/>
      <c r="C700" s="29"/>
      <c r="D700" s="30"/>
      <c r="E700" s="31"/>
      <c r="F700" s="29"/>
      <c r="G700" s="29"/>
      <c r="H700" s="29"/>
      <c r="I700" s="29"/>
      <c r="J700" s="29"/>
      <c r="K700" s="29"/>
      <c r="L700" s="32"/>
      <c r="M700" s="29"/>
      <c r="N700" s="29"/>
      <c r="O700" s="33"/>
      <c r="P700" s="29"/>
      <c r="Q700" s="29"/>
      <c r="R700" s="32"/>
      <c r="S700" s="29"/>
      <c r="T700" s="34"/>
      <c r="U700" s="29"/>
      <c r="V700" s="29"/>
      <c r="W700" s="28"/>
      <c r="X700" s="28"/>
      <c r="Y700" s="35"/>
      <c r="Z700" s="28"/>
      <c r="AA700" s="36"/>
      <c r="AB700" s="36"/>
    </row>
    <row r="701">
      <c r="A701" s="28"/>
      <c r="B701" s="29"/>
      <c r="C701" s="29"/>
      <c r="D701" s="30"/>
      <c r="E701" s="31"/>
      <c r="F701" s="29"/>
      <c r="G701" s="29"/>
      <c r="H701" s="29"/>
      <c r="I701" s="29"/>
      <c r="J701" s="29"/>
      <c r="K701" s="29"/>
      <c r="L701" s="32"/>
      <c r="M701" s="29"/>
      <c r="N701" s="29"/>
      <c r="O701" s="33"/>
      <c r="P701" s="29"/>
      <c r="Q701" s="29"/>
      <c r="R701" s="32"/>
      <c r="S701" s="29"/>
      <c r="T701" s="34"/>
      <c r="U701" s="29"/>
      <c r="V701" s="29"/>
      <c r="W701" s="28"/>
      <c r="X701" s="28"/>
      <c r="Y701" s="35"/>
      <c r="Z701" s="28"/>
      <c r="AA701" s="36"/>
      <c r="AB701" s="36"/>
    </row>
    <row r="702">
      <c r="A702" s="28"/>
      <c r="B702" s="29"/>
      <c r="C702" s="29"/>
      <c r="D702" s="30"/>
      <c r="E702" s="31"/>
      <c r="F702" s="29"/>
      <c r="G702" s="29"/>
      <c r="H702" s="29"/>
      <c r="I702" s="29"/>
      <c r="J702" s="29"/>
      <c r="K702" s="29"/>
      <c r="L702" s="32"/>
      <c r="M702" s="29"/>
      <c r="N702" s="29"/>
      <c r="O702" s="33"/>
      <c r="P702" s="29"/>
      <c r="Q702" s="29"/>
      <c r="R702" s="32"/>
      <c r="S702" s="29"/>
      <c r="T702" s="34"/>
      <c r="U702" s="29"/>
      <c r="V702" s="29"/>
      <c r="W702" s="28"/>
      <c r="X702" s="28"/>
      <c r="Y702" s="35"/>
      <c r="Z702" s="28"/>
      <c r="AA702" s="36"/>
      <c r="AB702" s="36"/>
    </row>
    <row r="703">
      <c r="A703" s="28"/>
      <c r="B703" s="29"/>
      <c r="C703" s="29"/>
      <c r="D703" s="30"/>
      <c r="E703" s="31"/>
      <c r="F703" s="29"/>
      <c r="G703" s="29"/>
      <c r="H703" s="29"/>
      <c r="I703" s="29"/>
      <c r="J703" s="29"/>
      <c r="K703" s="29"/>
      <c r="L703" s="32"/>
      <c r="M703" s="29"/>
      <c r="N703" s="29"/>
      <c r="O703" s="33"/>
      <c r="P703" s="29"/>
      <c r="Q703" s="29"/>
      <c r="R703" s="32"/>
      <c r="S703" s="29"/>
      <c r="T703" s="34"/>
      <c r="U703" s="29"/>
      <c r="V703" s="29"/>
      <c r="W703" s="28"/>
      <c r="X703" s="28"/>
      <c r="Y703" s="35"/>
      <c r="Z703" s="28"/>
      <c r="AA703" s="36"/>
      <c r="AB703" s="36"/>
    </row>
    <row r="704">
      <c r="A704" s="28"/>
      <c r="B704" s="29"/>
      <c r="C704" s="29"/>
      <c r="D704" s="30"/>
      <c r="E704" s="31"/>
      <c r="F704" s="29"/>
      <c r="G704" s="29"/>
      <c r="H704" s="29"/>
      <c r="I704" s="29"/>
      <c r="J704" s="29"/>
      <c r="K704" s="29"/>
      <c r="L704" s="32"/>
      <c r="M704" s="29"/>
      <c r="N704" s="29"/>
      <c r="O704" s="33"/>
      <c r="P704" s="29"/>
      <c r="Q704" s="29"/>
      <c r="R704" s="32"/>
      <c r="S704" s="29"/>
      <c r="T704" s="34"/>
      <c r="U704" s="29"/>
      <c r="V704" s="29"/>
      <c r="W704" s="28"/>
      <c r="X704" s="28"/>
      <c r="Y704" s="35"/>
      <c r="Z704" s="28"/>
      <c r="AA704" s="36"/>
      <c r="AB704" s="36"/>
    </row>
    <row r="705">
      <c r="A705" s="28"/>
      <c r="B705" s="29"/>
      <c r="C705" s="29"/>
      <c r="D705" s="30"/>
      <c r="E705" s="31"/>
      <c r="F705" s="29"/>
      <c r="G705" s="29"/>
      <c r="H705" s="29"/>
      <c r="I705" s="29"/>
      <c r="J705" s="29"/>
      <c r="K705" s="29"/>
      <c r="L705" s="32"/>
      <c r="M705" s="29"/>
      <c r="N705" s="29"/>
      <c r="O705" s="33"/>
      <c r="P705" s="29"/>
      <c r="Q705" s="29"/>
      <c r="R705" s="32"/>
      <c r="S705" s="29"/>
      <c r="T705" s="34"/>
      <c r="U705" s="29"/>
      <c r="V705" s="29"/>
      <c r="W705" s="28"/>
      <c r="X705" s="28"/>
      <c r="Y705" s="35"/>
      <c r="Z705" s="28"/>
      <c r="AA705" s="36"/>
      <c r="AB705" s="36"/>
    </row>
    <row r="706">
      <c r="A706" s="28"/>
      <c r="B706" s="29"/>
      <c r="C706" s="29"/>
      <c r="D706" s="30"/>
      <c r="E706" s="31"/>
      <c r="F706" s="29"/>
      <c r="G706" s="29"/>
      <c r="H706" s="29"/>
      <c r="I706" s="29"/>
      <c r="J706" s="29"/>
      <c r="K706" s="29"/>
      <c r="L706" s="32"/>
      <c r="M706" s="29"/>
      <c r="N706" s="29"/>
      <c r="O706" s="33"/>
      <c r="P706" s="29"/>
      <c r="Q706" s="29"/>
      <c r="R706" s="32"/>
      <c r="S706" s="29"/>
      <c r="T706" s="34"/>
      <c r="U706" s="29"/>
      <c r="V706" s="29"/>
      <c r="W706" s="28"/>
      <c r="X706" s="28"/>
      <c r="Y706" s="35"/>
      <c r="Z706" s="28"/>
      <c r="AA706" s="36"/>
      <c r="AB706" s="36"/>
    </row>
    <row r="707">
      <c r="A707" s="28"/>
      <c r="B707" s="29"/>
      <c r="C707" s="29"/>
      <c r="D707" s="30"/>
      <c r="E707" s="31"/>
      <c r="F707" s="29"/>
      <c r="G707" s="29"/>
      <c r="H707" s="29"/>
      <c r="I707" s="29"/>
      <c r="J707" s="29"/>
      <c r="K707" s="29"/>
      <c r="L707" s="32"/>
      <c r="M707" s="29"/>
      <c r="N707" s="29"/>
      <c r="O707" s="33"/>
      <c r="P707" s="29"/>
      <c r="Q707" s="29"/>
      <c r="R707" s="32"/>
      <c r="S707" s="29"/>
      <c r="T707" s="34"/>
      <c r="U707" s="29"/>
      <c r="V707" s="29"/>
      <c r="W707" s="28"/>
      <c r="X707" s="28"/>
      <c r="Y707" s="35"/>
      <c r="Z707" s="28"/>
      <c r="AA707" s="36"/>
      <c r="AB707" s="36"/>
    </row>
    <row r="708">
      <c r="A708" s="28"/>
      <c r="B708" s="29"/>
      <c r="C708" s="29"/>
      <c r="D708" s="30"/>
      <c r="E708" s="31"/>
      <c r="F708" s="29"/>
      <c r="G708" s="29"/>
      <c r="H708" s="29"/>
      <c r="I708" s="29"/>
      <c r="J708" s="29"/>
      <c r="K708" s="29"/>
      <c r="L708" s="32"/>
      <c r="M708" s="29"/>
      <c r="N708" s="29"/>
      <c r="O708" s="33"/>
      <c r="P708" s="29"/>
      <c r="Q708" s="29"/>
      <c r="R708" s="32"/>
      <c r="S708" s="29"/>
      <c r="T708" s="34"/>
      <c r="U708" s="29"/>
      <c r="V708" s="29"/>
      <c r="W708" s="28"/>
      <c r="X708" s="28"/>
      <c r="Y708" s="35"/>
      <c r="Z708" s="28"/>
      <c r="AA708" s="36"/>
      <c r="AB708" s="36"/>
    </row>
    <row r="709">
      <c r="A709" s="28"/>
      <c r="B709" s="29"/>
      <c r="C709" s="29"/>
      <c r="D709" s="30"/>
      <c r="E709" s="31"/>
      <c r="F709" s="29"/>
      <c r="G709" s="29"/>
      <c r="H709" s="29"/>
      <c r="I709" s="29"/>
      <c r="J709" s="29"/>
      <c r="K709" s="29"/>
      <c r="L709" s="32"/>
      <c r="M709" s="29"/>
      <c r="N709" s="29"/>
      <c r="O709" s="33"/>
      <c r="P709" s="29"/>
      <c r="Q709" s="29"/>
      <c r="R709" s="32"/>
      <c r="S709" s="29"/>
      <c r="T709" s="34"/>
      <c r="U709" s="29"/>
      <c r="V709" s="29"/>
      <c r="W709" s="28"/>
      <c r="X709" s="28"/>
      <c r="Y709" s="35"/>
      <c r="Z709" s="28"/>
      <c r="AA709" s="36"/>
      <c r="AB709" s="36"/>
    </row>
    <row r="710">
      <c r="A710" s="28"/>
      <c r="B710" s="29"/>
      <c r="C710" s="29"/>
      <c r="D710" s="30"/>
      <c r="E710" s="31"/>
      <c r="F710" s="29"/>
      <c r="G710" s="29"/>
      <c r="H710" s="29"/>
      <c r="I710" s="29"/>
      <c r="J710" s="29"/>
      <c r="K710" s="29"/>
      <c r="L710" s="32"/>
      <c r="M710" s="29"/>
      <c r="N710" s="29"/>
      <c r="O710" s="33"/>
      <c r="P710" s="29"/>
      <c r="Q710" s="29"/>
      <c r="R710" s="32"/>
      <c r="S710" s="29"/>
      <c r="T710" s="34"/>
      <c r="U710" s="29"/>
      <c r="V710" s="29"/>
      <c r="W710" s="28"/>
      <c r="X710" s="28"/>
      <c r="Y710" s="35"/>
      <c r="Z710" s="28"/>
      <c r="AA710" s="36"/>
      <c r="AB710" s="36"/>
    </row>
    <row r="711">
      <c r="A711" s="28"/>
      <c r="B711" s="29"/>
      <c r="C711" s="29"/>
      <c r="D711" s="30"/>
      <c r="E711" s="31"/>
      <c r="F711" s="29"/>
      <c r="G711" s="29"/>
      <c r="H711" s="29"/>
      <c r="I711" s="29"/>
      <c r="J711" s="29"/>
      <c r="K711" s="29"/>
      <c r="L711" s="32"/>
      <c r="M711" s="29"/>
      <c r="N711" s="29"/>
      <c r="O711" s="33"/>
      <c r="P711" s="29"/>
      <c r="Q711" s="29"/>
      <c r="R711" s="32"/>
      <c r="S711" s="29"/>
      <c r="T711" s="34"/>
      <c r="U711" s="29"/>
      <c r="V711" s="29"/>
      <c r="W711" s="28"/>
      <c r="X711" s="28"/>
      <c r="Y711" s="35"/>
      <c r="Z711" s="28"/>
      <c r="AA711" s="36"/>
      <c r="AB711" s="36"/>
    </row>
    <row r="712">
      <c r="A712" s="28"/>
      <c r="B712" s="29"/>
      <c r="C712" s="29"/>
      <c r="D712" s="30"/>
      <c r="E712" s="31"/>
      <c r="F712" s="29"/>
      <c r="G712" s="29"/>
      <c r="H712" s="29"/>
      <c r="I712" s="29"/>
      <c r="J712" s="29"/>
      <c r="K712" s="29"/>
      <c r="L712" s="32"/>
      <c r="M712" s="29"/>
      <c r="N712" s="29"/>
      <c r="O712" s="33"/>
      <c r="P712" s="29"/>
      <c r="Q712" s="29"/>
      <c r="R712" s="32"/>
      <c r="S712" s="29"/>
      <c r="T712" s="34"/>
      <c r="U712" s="29"/>
      <c r="V712" s="29"/>
      <c r="W712" s="28"/>
      <c r="X712" s="28"/>
      <c r="Y712" s="35"/>
      <c r="Z712" s="28"/>
      <c r="AA712" s="36"/>
      <c r="AB712" s="36"/>
    </row>
    <row r="713">
      <c r="A713" s="28"/>
      <c r="B713" s="29"/>
      <c r="C713" s="29"/>
      <c r="D713" s="30"/>
      <c r="E713" s="31"/>
      <c r="F713" s="29"/>
      <c r="G713" s="29"/>
      <c r="H713" s="29"/>
      <c r="I713" s="29"/>
      <c r="J713" s="29"/>
      <c r="K713" s="29"/>
      <c r="L713" s="32"/>
      <c r="M713" s="29"/>
      <c r="N713" s="29"/>
      <c r="O713" s="33"/>
      <c r="P713" s="29"/>
      <c r="Q713" s="29"/>
      <c r="R713" s="32"/>
      <c r="S713" s="29"/>
      <c r="T713" s="34"/>
      <c r="U713" s="29"/>
      <c r="V713" s="29"/>
      <c r="W713" s="28"/>
      <c r="X713" s="28"/>
      <c r="Y713" s="35"/>
      <c r="Z713" s="28"/>
      <c r="AA713" s="36"/>
      <c r="AB713" s="36"/>
    </row>
    <row r="714">
      <c r="A714" s="28"/>
      <c r="B714" s="29"/>
      <c r="C714" s="29"/>
      <c r="D714" s="30"/>
      <c r="E714" s="31"/>
      <c r="F714" s="29"/>
      <c r="G714" s="29"/>
      <c r="H714" s="29"/>
      <c r="I714" s="29"/>
      <c r="J714" s="29"/>
      <c r="K714" s="29"/>
      <c r="L714" s="32"/>
      <c r="M714" s="29"/>
      <c r="N714" s="29"/>
      <c r="O714" s="33"/>
      <c r="P714" s="29"/>
      <c r="Q714" s="29"/>
      <c r="R714" s="32"/>
      <c r="S714" s="29"/>
      <c r="T714" s="34"/>
      <c r="U714" s="29"/>
      <c r="V714" s="29"/>
      <c r="W714" s="28"/>
      <c r="X714" s="28"/>
      <c r="Y714" s="35"/>
      <c r="Z714" s="28"/>
      <c r="AA714" s="36"/>
      <c r="AB714" s="36"/>
    </row>
    <row r="715">
      <c r="A715" s="28"/>
      <c r="B715" s="29"/>
      <c r="C715" s="29"/>
      <c r="D715" s="30"/>
      <c r="E715" s="31"/>
      <c r="F715" s="29"/>
      <c r="G715" s="29"/>
      <c r="H715" s="29"/>
      <c r="I715" s="29"/>
      <c r="J715" s="29"/>
      <c r="K715" s="29"/>
      <c r="L715" s="32"/>
      <c r="M715" s="29"/>
      <c r="N715" s="29"/>
      <c r="O715" s="33"/>
      <c r="P715" s="29"/>
      <c r="Q715" s="29"/>
      <c r="R715" s="32"/>
      <c r="S715" s="29"/>
      <c r="T715" s="34"/>
      <c r="U715" s="29"/>
      <c r="V715" s="29"/>
      <c r="W715" s="28"/>
      <c r="X715" s="28"/>
      <c r="Y715" s="35"/>
      <c r="Z715" s="28"/>
      <c r="AA715" s="36"/>
      <c r="AB715" s="36"/>
    </row>
    <row r="716">
      <c r="A716" s="28"/>
      <c r="B716" s="29"/>
      <c r="C716" s="29"/>
      <c r="D716" s="30"/>
      <c r="E716" s="31"/>
      <c r="F716" s="29"/>
      <c r="G716" s="29"/>
      <c r="H716" s="29"/>
      <c r="I716" s="29"/>
      <c r="J716" s="29"/>
      <c r="K716" s="29"/>
      <c r="L716" s="32"/>
      <c r="M716" s="29"/>
      <c r="N716" s="29"/>
      <c r="O716" s="33"/>
      <c r="P716" s="29"/>
      <c r="Q716" s="29"/>
      <c r="R716" s="32"/>
      <c r="S716" s="29"/>
      <c r="T716" s="34"/>
      <c r="U716" s="29"/>
      <c r="V716" s="29"/>
      <c r="W716" s="28"/>
      <c r="X716" s="28"/>
      <c r="Y716" s="35"/>
      <c r="Z716" s="28"/>
      <c r="AA716" s="36"/>
      <c r="AB716" s="36"/>
    </row>
    <row r="717">
      <c r="A717" s="28"/>
      <c r="B717" s="29"/>
      <c r="C717" s="29"/>
      <c r="D717" s="30"/>
      <c r="E717" s="31"/>
      <c r="F717" s="29"/>
      <c r="G717" s="29"/>
      <c r="H717" s="29"/>
      <c r="I717" s="29"/>
      <c r="J717" s="29"/>
      <c r="K717" s="29"/>
      <c r="L717" s="32"/>
      <c r="M717" s="29"/>
      <c r="N717" s="29"/>
      <c r="O717" s="33"/>
      <c r="P717" s="29"/>
      <c r="Q717" s="29"/>
      <c r="R717" s="32"/>
      <c r="S717" s="29"/>
      <c r="T717" s="34"/>
      <c r="U717" s="29"/>
      <c r="V717" s="29"/>
      <c r="W717" s="28"/>
      <c r="X717" s="28"/>
      <c r="Y717" s="35"/>
      <c r="Z717" s="28"/>
      <c r="AA717" s="36"/>
      <c r="AB717" s="36"/>
    </row>
    <row r="718">
      <c r="A718" s="28"/>
      <c r="B718" s="29"/>
      <c r="C718" s="29"/>
      <c r="D718" s="30"/>
      <c r="E718" s="31"/>
      <c r="F718" s="29"/>
      <c r="G718" s="29"/>
      <c r="H718" s="29"/>
      <c r="I718" s="29"/>
      <c r="J718" s="29"/>
      <c r="K718" s="29"/>
      <c r="L718" s="32"/>
      <c r="M718" s="29"/>
      <c r="N718" s="29"/>
      <c r="O718" s="33"/>
      <c r="P718" s="29"/>
      <c r="Q718" s="29"/>
      <c r="R718" s="32"/>
      <c r="S718" s="29"/>
      <c r="T718" s="34"/>
      <c r="U718" s="29"/>
      <c r="V718" s="29"/>
      <c r="W718" s="28"/>
      <c r="X718" s="28"/>
      <c r="Y718" s="35"/>
      <c r="Z718" s="28"/>
      <c r="AA718" s="36"/>
      <c r="AB718" s="36"/>
    </row>
    <row r="719">
      <c r="A719" s="28"/>
      <c r="B719" s="29"/>
      <c r="C719" s="29"/>
      <c r="D719" s="30"/>
      <c r="E719" s="31"/>
      <c r="F719" s="29"/>
      <c r="G719" s="29"/>
      <c r="H719" s="29"/>
      <c r="I719" s="29"/>
      <c r="J719" s="29"/>
      <c r="K719" s="29"/>
      <c r="L719" s="32"/>
      <c r="M719" s="29"/>
      <c r="N719" s="29"/>
      <c r="O719" s="33"/>
      <c r="P719" s="29"/>
      <c r="Q719" s="29"/>
      <c r="R719" s="32"/>
      <c r="S719" s="29"/>
      <c r="T719" s="34"/>
      <c r="U719" s="29"/>
      <c r="V719" s="29"/>
      <c r="W719" s="28"/>
      <c r="X719" s="28"/>
      <c r="Y719" s="35"/>
      <c r="Z719" s="28"/>
      <c r="AA719" s="36"/>
      <c r="AB719" s="36"/>
    </row>
    <row r="720">
      <c r="A720" s="28"/>
      <c r="B720" s="29"/>
      <c r="C720" s="29"/>
      <c r="D720" s="30"/>
      <c r="E720" s="31"/>
      <c r="F720" s="29"/>
      <c r="G720" s="29"/>
      <c r="H720" s="29"/>
      <c r="I720" s="29"/>
      <c r="J720" s="29"/>
      <c r="K720" s="29"/>
      <c r="L720" s="32"/>
      <c r="M720" s="29"/>
      <c r="N720" s="29"/>
      <c r="O720" s="33"/>
      <c r="P720" s="29"/>
      <c r="Q720" s="29"/>
      <c r="R720" s="32"/>
      <c r="S720" s="29"/>
      <c r="T720" s="34"/>
      <c r="U720" s="29"/>
      <c r="V720" s="29"/>
      <c r="W720" s="28"/>
      <c r="X720" s="28"/>
      <c r="Y720" s="35"/>
      <c r="Z720" s="28"/>
      <c r="AA720" s="36"/>
      <c r="AB720" s="36"/>
    </row>
    <row r="721">
      <c r="A721" s="28"/>
      <c r="B721" s="29"/>
      <c r="C721" s="29"/>
      <c r="D721" s="30"/>
      <c r="E721" s="31"/>
      <c r="F721" s="29"/>
      <c r="G721" s="29"/>
      <c r="H721" s="29"/>
      <c r="I721" s="29"/>
      <c r="J721" s="29"/>
      <c r="K721" s="29"/>
      <c r="L721" s="32"/>
      <c r="M721" s="29"/>
      <c r="N721" s="29"/>
      <c r="O721" s="33"/>
      <c r="P721" s="29"/>
      <c r="Q721" s="29"/>
      <c r="R721" s="32"/>
      <c r="S721" s="29"/>
      <c r="T721" s="34"/>
      <c r="U721" s="29"/>
      <c r="V721" s="29"/>
      <c r="W721" s="28"/>
      <c r="X721" s="28"/>
      <c r="Y721" s="35"/>
      <c r="Z721" s="28"/>
      <c r="AA721" s="36"/>
      <c r="AB721" s="36"/>
    </row>
    <row r="722">
      <c r="A722" s="28"/>
      <c r="B722" s="29"/>
      <c r="C722" s="29"/>
      <c r="D722" s="30"/>
      <c r="E722" s="31"/>
      <c r="F722" s="29"/>
      <c r="G722" s="29"/>
      <c r="H722" s="29"/>
      <c r="I722" s="29"/>
      <c r="J722" s="29"/>
      <c r="K722" s="29"/>
      <c r="L722" s="32"/>
      <c r="M722" s="29"/>
      <c r="N722" s="29"/>
      <c r="O722" s="33"/>
      <c r="P722" s="29"/>
      <c r="Q722" s="29"/>
      <c r="R722" s="32"/>
      <c r="S722" s="29"/>
      <c r="T722" s="34"/>
      <c r="U722" s="29"/>
      <c r="V722" s="29"/>
      <c r="W722" s="28"/>
      <c r="X722" s="28"/>
      <c r="Y722" s="35"/>
      <c r="Z722" s="28"/>
      <c r="AA722" s="36"/>
      <c r="AB722" s="36"/>
    </row>
    <row r="723">
      <c r="A723" s="28"/>
      <c r="B723" s="29"/>
      <c r="C723" s="29"/>
      <c r="D723" s="30"/>
      <c r="E723" s="31"/>
      <c r="F723" s="29"/>
      <c r="G723" s="29"/>
      <c r="H723" s="29"/>
      <c r="I723" s="29"/>
      <c r="J723" s="29"/>
      <c r="K723" s="29"/>
      <c r="L723" s="32"/>
      <c r="M723" s="29"/>
      <c r="N723" s="29"/>
      <c r="O723" s="33"/>
      <c r="P723" s="29"/>
      <c r="Q723" s="29"/>
      <c r="R723" s="32"/>
      <c r="S723" s="29"/>
      <c r="T723" s="34"/>
      <c r="U723" s="29"/>
      <c r="V723" s="29"/>
      <c r="W723" s="28"/>
      <c r="X723" s="28"/>
      <c r="Y723" s="35"/>
      <c r="Z723" s="28"/>
      <c r="AA723" s="36"/>
      <c r="AB723" s="36"/>
    </row>
    <row r="724">
      <c r="A724" s="28"/>
      <c r="B724" s="29"/>
      <c r="C724" s="29"/>
      <c r="D724" s="30"/>
      <c r="E724" s="31"/>
      <c r="F724" s="29"/>
      <c r="G724" s="29"/>
      <c r="H724" s="29"/>
      <c r="I724" s="29"/>
      <c r="J724" s="29"/>
      <c r="K724" s="29"/>
      <c r="L724" s="32"/>
      <c r="M724" s="29"/>
      <c r="N724" s="29"/>
      <c r="O724" s="33"/>
      <c r="P724" s="29"/>
      <c r="Q724" s="29"/>
      <c r="R724" s="32"/>
      <c r="S724" s="29"/>
      <c r="T724" s="34"/>
      <c r="U724" s="29"/>
      <c r="V724" s="29"/>
      <c r="W724" s="28"/>
      <c r="X724" s="28"/>
      <c r="Y724" s="35"/>
      <c r="Z724" s="28"/>
      <c r="AA724" s="36"/>
      <c r="AB724" s="36"/>
    </row>
    <row r="725">
      <c r="A725" s="28"/>
      <c r="B725" s="29"/>
      <c r="C725" s="29"/>
      <c r="D725" s="30"/>
      <c r="E725" s="31"/>
      <c r="F725" s="29"/>
      <c r="G725" s="29"/>
      <c r="H725" s="29"/>
      <c r="I725" s="29"/>
      <c r="J725" s="29"/>
      <c r="K725" s="29"/>
      <c r="L725" s="32"/>
      <c r="M725" s="29"/>
      <c r="N725" s="29"/>
      <c r="O725" s="33"/>
      <c r="P725" s="29"/>
      <c r="Q725" s="29"/>
      <c r="R725" s="32"/>
      <c r="S725" s="29"/>
      <c r="T725" s="34"/>
      <c r="U725" s="29"/>
      <c r="V725" s="29"/>
      <c r="W725" s="28"/>
      <c r="X725" s="28"/>
      <c r="Y725" s="35"/>
      <c r="Z725" s="28"/>
      <c r="AA725" s="36"/>
      <c r="AB725" s="36"/>
    </row>
    <row r="726">
      <c r="A726" s="28"/>
      <c r="B726" s="29"/>
      <c r="C726" s="29"/>
      <c r="D726" s="30"/>
      <c r="E726" s="31"/>
      <c r="F726" s="29"/>
      <c r="G726" s="29"/>
      <c r="H726" s="29"/>
      <c r="I726" s="29"/>
      <c r="J726" s="29"/>
      <c r="K726" s="29"/>
      <c r="L726" s="32"/>
      <c r="M726" s="29"/>
      <c r="N726" s="29"/>
      <c r="O726" s="33"/>
      <c r="P726" s="29"/>
      <c r="Q726" s="29"/>
      <c r="R726" s="32"/>
      <c r="S726" s="29"/>
      <c r="T726" s="34"/>
      <c r="U726" s="29"/>
      <c r="V726" s="29"/>
      <c r="W726" s="28"/>
      <c r="X726" s="28"/>
      <c r="Y726" s="35"/>
      <c r="Z726" s="28"/>
      <c r="AA726" s="36"/>
      <c r="AB726" s="36"/>
    </row>
    <row r="727">
      <c r="A727" s="28"/>
      <c r="B727" s="29"/>
      <c r="C727" s="29"/>
      <c r="D727" s="30"/>
      <c r="E727" s="31"/>
      <c r="F727" s="29"/>
      <c r="G727" s="29"/>
      <c r="H727" s="29"/>
      <c r="I727" s="29"/>
      <c r="J727" s="29"/>
      <c r="K727" s="29"/>
      <c r="L727" s="32"/>
      <c r="M727" s="29"/>
      <c r="N727" s="29"/>
      <c r="O727" s="33"/>
      <c r="P727" s="29"/>
      <c r="Q727" s="29"/>
      <c r="R727" s="32"/>
      <c r="S727" s="29"/>
      <c r="T727" s="34"/>
      <c r="U727" s="29"/>
      <c r="V727" s="29"/>
      <c r="W727" s="28"/>
      <c r="X727" s="28"/>
      <c r="Y727" s="35"/>
      <c r="Z727" s="28"/>
      <c r="AA727" s="36"/>
      <c r="AB727" s="36"/>
    </row>
    <row r="728">
      <c r="A728" s="28"/>
      <c r="B728" s="29"/>
      <c r="C728" s="29"/>
      <c r="D728" s="30"/>
      <c r="E728" s="31"/>
      <c r="F728" s="29"/>
      <c r="G728" s="29"/>
      <c r="H728" s="29"/>
      <c r="I728" s="29"/>
      <c r="J728" s="29"/>
      <c r="K728" s="29"/>
      <c r="L728" s="32"/>
      <c r="M728" s="29"/>
      <c r="N728" s="29"/>
      <c r="O728" s="33"/>
      <c r="P728" s="29"/>
      <c r="Q728" s="29"/>
      <c r="R728" s="32"/>
      <c r="S728" s="29"/>
      <c r="T728" s="34"/>
      <c r="U728" s="29"/>
      <c r="V728" s="29"/>
      <c r="W728" s="28"/>
      <c r="X728" s="28"/>
      <c r="Y728" s="35"/>
      <c r="Z728" s="28"/>
      <c r="AA728" s="36"/>
      <c r="AB728" s="36"/>
    </row>
    <row r="729">
      <c r="A729" s="28"/>
      <c r="B729" s="29"/>
      <c r="C729" s="29"/>
      <c r="D729" s="30"/>
      <c r="E729" s="31"/>
      <c r="F729" s="29"/>
      <c r="G729" s="29"/>
      <c r="H729" s="29"/>
      <c r="I729" s="29"/>
      <c r="J729" s="29"/>
      <c r="K729" s="29"/>
      <c r="L729" s="32"/>
      <c r="M729" s="29"/>
      <c r="N729" s="29"/>
      <c r="O729" s="33"/>
      <c r="P729" s="29"/>
      <c r="Q729" s="29"/>
      <c r="R729" s="32"/>
      <c r="S729" s="29"/>
      <c r="T729" s="34"/>
      <c r="U729" s="29"/>
      <c r="V729" s="29"/>
      <c r="W729" s="28"/>
      <c r="X729" s="28"/>
      <c r="Y729" s="35"/>
      <c r="Z729" s="28"/>
      <c r="AA729" s="36"/>
      <c r="AB729" s="36"/>
    </row>
    <row r="730">
      <c r="A730" s="28"/>
      <c r="B730" s="29"/>
      <c r="C730" s="29"/>
      <c r="D730" s="30"/>
      <c r="E730" s="31"/>
      <c r="F730" s="29"/>
      <c r="G730" s="29"/>
      <c r="H730" s="29"/>
      <c r="I730" s="29"/>
      <c r="J730" s="29"/>
      <c r="K730" s="29"/>
      <c r="L730" s="32"/>
      <c r="M730" s="29"/>
      <c r="N730" s="29"/>
      <c r="O730" s="33"/>
      <c r="P730" s="29"/>
      <c r="Q730" s="29"/>
      <c r="R730" s="32"/>
      <c r="S730" s="29"/>
      <c r="T730" s="34"/>
      <c r="U730" s="29"/>
      <c r="V730" s="29"/>
      <c r="W730" s="28"/>
      <c r="X730" s="28"/>
      <c r="Y730" s="35"/>
      <c r="Z730" s="28"/>
      <c r="AA730" s="36"/>
      <c r="AB730" s="36"/>
    </row>
    <row r="731">
      <c r="A731" s="28"/>
      <c r="B731" s="29"/>
      <c r="C731" s="29"/>
      <c r="D731" s="30"/>
      <c r="E731" s="31"/>
      <c r="F731" s="29"/>
      <c r="G731" s="29"/>
      <c r="H731" s="29"/>
      <c r="I731" s="29"/>
      <c r="J731" s="29"/>
      <c r="K731" s="29"/>
      <c r="L731" s="32"/>
      <c r="M731" s="29"/>
      <c r="N731" s="29"/>
      <c r="O731" s="33"/>
      <c r="P731" s="29"/>
      <c r="Q731" s="29"/>
      <c r="R731" s="32"/>
      <c r="S731" s="29"/>
      <c r="T731" s="34"/>
      <c r="U731" s="29"/>
      <c r="V731" s="29"/>
      <c r="W731" s="28"/>
      <c r="X731" s="28"/>
      <c r="Y731" s="35"/>
      <c r="Z731" s="28"/>
      <c r="AA731" s="36"/>
      <c r="AB731" s="36"/>
    </row>
    <row r="732">
      <c r="A732" s="28"/>
      <c r="B732" s="29"/>
      <c r="C732" s="29"/>
      <c r="D732" s="30"/>
      <c r="E732" s="31"/>
      <c r="F732" s="29"/>
      <c r="G732" s="29"/>
      <c r="H732" s="29"/>
      <c r="I732" s="29"/>
      <c r="J732" s="29"/>
      <c r="K732" s="29"/>
      <c r="L732" s="32"/>
      <c r="M732" s="29"/>
      <c r="N732" s="29"/>
      <c r="O732" s="33"/>
      <c r="P732" s="29"/>
      <c r="Q732" s="29"/>
      <c r="R732" s="32"/>
      <c r="S732" s="29"/>
      <c r="T732" s="34"/>
      <c r="U732" s="29"/>
      <c r="V732" s="29"/>
      <c r="W732" s="28"/>
      <c r="X732" s="28"/>
      <c r="Y732" s="35"/>
      <c r="Z732" s="28"/>
      <c r="AA732" s="36"/>
      <c r="AB732" s="36"/>
    </row>
    <row r="733">
      <c r="A733" s="28"/>
      <c r="B733" s="29"/>
      <c r="C733" s="29"/>
      <c r="D733" s="30"/>
      <c r="E733" s="31"/>
      <c r="F733" s="29"/>
      <c r="G733" s="29"/>
      <c r="H733" s="29"/>
      <c r="I733" s="29"/>
      <c r="J733" s="29"/>
      <c r="K733" s="29"/>
      <c r="L733" s="32"/>
      <c r="M733" s="29"/>
      <c r="N733" s="29"/>
      <c r="O733" s="33"/>
      <c r="P733" s="29"/>
      <c r="Q733" s="29"/>
      <c r="R733" s="32"/>
      <c r="S733" s="29"/>
      <c r="T733" s="34"/>
      <c r="U733" s="29"/>
      <c r="V733" s="29"/>
      <c r="W733" s="28"/>
      <c r="X733" s="28"/>
      <c r="Y733" s="35"/>
      <c r="Z733" s="28"/>
      <c r="AA733" s="36"/>
      <c r="AB733" s="36"/>
    </row>
    <row r="734">
      <c r="A734" s="28"/>
      <c r="B734" s="29"/>
      <c r="C734" s="29"/>
      <c r="D734" s="30"/>
      <c r="E734" s="31"/>
      <c r="F734" s="29"/>
      <c r="G734" s="29"/>
      <c r="H734" s="29"/>
      <c r="I734" s="29"/>
      <c r="J734" s="29"/>
      <c r="K734" s="29"/>
      <c r="L734" s="32"/>
      <c r="M734" s="29"/>
      <c r="N734" s="29"/>
      <c r="O734" s="33"/>
      <c r="P734" s="29"/>
      <c r="Q734" s="29"/>
      <c r="R734" s="32"/>
      <c r="S734" s="29"/>
      <c r="T734" s="34"/>
      <c r="U734" s="29"/>
      <c r="V734" s="29"/>
      <c r="W734" s="28"/>
      <c r="X734" s="28"/>
      <c r="Y734" s="35"/>
      <c r="Z734" s="28"/>
      <c r="AA734" s="36"/>
      <c r="AB734" s="36"/>
    </row>
    <row r="735">
      <c r="A735" s="28"/>
      <c r="B735" s="29"/>
      <c r="C735" s="29"/>
      <c r="D735" s="30"/>
      <c r="E735" s="31"/>
      <c r="F735" s="29"/>
      <c r="G735" s="29"/>
      <c r="H735" s="29"/>
      <c r="I735" s="29"/>
      <c r="J735" s="29"/>
      <c r="K735" s="29"/>
      <c r="L735" s="32"/>
      <c r="M735" s="29"/>
      <c r="N735" s="29"/>
      <c r="O735" s="33"/>
      <c r="P735" s="29"/>
      <c r="Q735" s="29"/>
      <c r="R735" s="32"/>
      <c r="S735" s="29"/>
      <c r="T735" s="34"/>
      <c r="U735" s="29"/>
      <c r="V735" s="29"/>
      <c r="W735" s="28"/>
      <c r="X735" s="28"/>
      <c r="Y735" s="35"/>
      <c r="Z735" s="28"/>
      <c r="AA735" s="36"/>
      <c r="AB735" s="36"/>
    </row>
    <row r="736">
      <c r="A736" s="28"/>
      <c r="B736" s="29"/>
      <c r="C736" s="29"/>
      <c r="D736" s="30"/>
      <c r="E736" s="31"/>
      <c r="F736" s="29"/>
      <c r="G736" s="29"/>
      <c r="H736" s="29"/>
      <c r="I736" s="29"/>
      <c r="J736" s="29"/>
      <c r="K736" s="29"/>
      <c r="L736" s="32"/>
      <c r="M736" s="29"/>
      <c r="N736" s="29"/>
      <c r="O736" s="33"/>
      <c r="P736" s="29"/>
      <c r="Q736" s="29"/>
      <c r="R736" s="32"/>
      <c r="S736" s="29"/>
      <c r="T736" s="34"/>
      <c r="U736" s="29"/>
      <c r="V736" s="29"/>
      <c r="W736" s="28"/>
      <c r="X736" s="28"/>
      <c r="Y736" s="35"/>
      <c r="Z736" s="28"/>
      <c r="AA736" s="36"/>
      <c r="AB736" s="36"/>
    </row>
    <row r="737">
      <c r="A737" s="28"/>
      <c r="B737" s="29"/>
      <c r="C737" s="29"/>
      <c r="D737" s="30"/>
      <c r="E737" s="31"/>
      <c r="F737" s="29"/>
      <c r="G737" s="29"/>
      <c r="H737" s="29"/>
      <c r="I737" s="29"/>
      <c r="J737" s="29"/>
      <c r="K737" s="29"/>
      <c r="L737" s="32"/>
      <c r="M737" s="29"/>
      <c r="N737" s="29"/>
      <c r="O737" s="33"/>
      <c r="P737" s="29"/>
      <c r="Q737" s="29"/>
      <c r="R737" s="32"/>
      <c r="S737" s="29"/>
      <c r="T737" s="34"/>
      <c r="U737" s="29"/>
      <c r="V737" s="29"/>
      <c r="W737" s="28"/>
      <c r="X737" s="28"/>
      <c r="Y737" s="35"/>
      <c r="Z737" s="28"/>
      <c r="AA737" s="36"/>
      <c r="AB737" s="36"/>
    </row>
    <row r="738">
      <c r="A738" s="28"/>
      <c r="B738" s="29"/>
      <c r="C738" s="29"/>
      <c r="D738" s="30"/>
      <c r="E738" s="31"/>
      <c r="F738" s="29"/>
      <c r="G738" s="29"/>
      <c r="H738" s="29"/>
      <c r="I738" s="29"/>
      <c r="J738" s="29"/>
      <c r="K738" s="29"/>
      <c r="L738" s="32"/>
      <c r="M738" s="29"/>
      <c r="N738" s="29"/>
      <c r="O738" s="33"/>
      <c r="P738" s="29"/>
      <c r="Q738" s="29"/>
      <c r="R738" s="32"/>
      <c r="S738" s="29"/>
      <c r="T738" s="34"/>
      <c r="U738" s="29"/>
      <c r="V738" s="29"/>
      <c r="W738" s="28"/>
      <c r="X738" s="28"/>
      <c r="Y738" s="35"/>
      <c r="Z738" s="28"/>
      <c r="AA738" s="36"/>
      <c r="AB738" s="36"/>
    </row>
    <row r="739">
      <c r="A739" s="28"/>
      <c r="B739" s="29"/>
      <c r="C739" s="29"/>
      <c r="D739" s="30"/>
      <c r="E739" s="31"/>
      <c r="F739" s="29"/>
      <c r="G739" s="29"/>
      <c r="H739" s="29"/>
      <c r="I739" s="29"/>
      <c r="J739" s="29"/>
      <c r="K739" s="29"/>
      <c r="L739" s="32"/>
      <c r="M739" s="29"/>
      <c r="N739" s="29"/>
      <c r="O739" s="33"/>
      <c r="P739" s="29"/>
      <c r="Q739" s="29"/>
      <c r="R739" s="32"/>
      <c r="S739" s="29"/>
      <c r="T739" s="34"/>
      <c r="U739" s="29"/>
      <c r="V739" s="29"/>
      <c r="W739" s="28"/>
      <c r="X739" s="28"/>
      <c r="Y739" s="35"/>
      <c r="Z739" s="28"/>
      <c r="AA739" s="36"/>
      <c r="AB739" s="36"/>
    </row>
    <row r="740">
      <c r="A740" s="28"/>
      <c r="B740" s="29"/>
      <c r="C740" s="29"/>
      <c r="D740" s="30"/>
      <c r="E740" s="31"/>
      <c r="F740" s="29"/>
      <c r="G740" s="29"/>
      <c r="H740" s="29"/>
      <c r="I740" s="29"/>
      <c r="J740" s="29"/>
      <c r="K740" s="29"/>
      <c r="L740" s="32"/>
      <c r="M740" s="29"/>
      <c r="N740" s="29"/>
      <c r="O740" s="33"/>
      <c r="P740" s="29"/>
      <c r="Q740" s="29"/>
      <c r="R740" s="32"/>
      <c r="S740" s="29"/>
      <c r="T740" s="34"/>
      <c r="U740" s="29"/>
      <c r="V740" s="29"/>
      <c r="W740" s="28"/>
      <c r="X740" s="28"/>
      <c r="Y740" s="35"/>
      <c r="Z740" s="28"/>
      <c r="AA740" s="36"/>
      <c r="AB740" s="36"/>
    </row>
    <row r="741">
      <c r="A741" s="28"/>
      <c r="B741" s="29"/>
      <c r="C741" s="29"/>
      <c r="D741" s="30"/>
      <c r="E741" s="31"/>
      <c r="F741" s="29"/>
      <c r="G741" s="29"/>
      <c r="H741" s="29"/>
      <c r="I741" s="29"/>
      <c r="J741" s="29"/>
      <c r="K741" s="29"/>
      <c r="L741" s="32"/>
      <c r="M741" s="29"/>
      <c r="N741" s="29"/>
      <c r="O741" s="33"/>
      <c r="P741" s="29"/>
      <c r="Q741" s="29"/>
      <c r="R741" s="32"/>
      <c r="S741" s="29"/>
      <c r="T741" s="34"/>
      <c r="U741" s="29"/>
      <c r="V741" s="29"/>
      <c r="W741" s="28"/>
      <c r="X741" s="28"/>
      <c r="Y741" s="35"/>
      <c r="Z741" s="28"/>
      <c r="AA741" s="36"/>
      <c r="AB741" s="36"/>
    </row>
    <row r="742">
      <c r="A742" s="28"/>
      <c r="B742" s="29"/>
      <c r="C742" s="29"/>
      <c r="D742" s="30"/>
      <c r="E742" s="31"/>
      <c r="F742" s="29"/>
      <c r="G742" s="29"/>
      <c r="H742" s="29"/>
      <c r="I742" s="29"/>
      <c r="J742" s="29"/>
      <c r="K742" s="29"/>
      <c r="L742" s="32"/>
      <c r="M742" s="29"/>
      <c r="N742" s="29"/>
      <c r="O742" s="33"/>
      <c r="P742" s="29"/>
      <c r="Q742" s="29"/>
      <c r="R742" s="32"/>
      <c r="S742" s="29"/>
      <c r="T742" s="34"/>
      <c r="U742" s="29"/>
      <c r="V742" s="29"/>
      <c r="W742" s="28"/>
      <c r="X742" s="28"/>
      <c r="Y742" s="35"/>
      <c r="Z742" s="28"/>
      <c r="AA742" s="36"/>
      <c r="AB742" s="36"/>
    </row>
    <row r="743">
      <c r="A743" s="28"/>
      <c r="B743" s="29"/>
      <c r="C743" s="29"/>
      <c r="D743" s="30"/>
      <c r="E743" s="31"/>
      <c r="F743" s="29"/>
      <c r="G743" s="29"/>
      <c r="H743" s="29"/>
      <c r="I743" s="29"/>
      <c r="J743" s="29"/>
      <c r="K743" s="29"/>
      <c r="L743" s="32"/>
      <c r="M743" s="29"/>
      <c r="N743" s="29"/>
      <c r="O743" s="33"/>
      <c r="P743" s="29"/>
      <c r="Q743" s="29"/>
      <c r="R743" s="32"/>
      <c r="S743" s="29"/>
      <c r="T743" s="34"/>
      <c r="U743" s="29"/>
      <c r="V743" s="29"/>
      <c r="W743" s="28"/>
      <c r="X743" s="28"/>
      <c r="Y743" s="35"/>
      <c r="Z743" s="28"/>
      <c r="AA743" s="36"/>
      <c r="AB743" s="36"/>
    </row>
    <row r="744">
      <c r="A744" s="28"/>
      <c r="B744" s="29"/>
      <c r="C744" s="29"/>
      <c r="D744" s="30"/>
      <c r="E744" s="31"/>
      <c r="F744" s="29"/>
      <c r="G744" s="29"/>
      <c r="H744" s="29"/>
      <c r="I744" s="29"/>
      <c r="J744" s="29"/>
      <c r="K744" s="29"/>
      <c r="L744" s="32"/>
      <c r="M744" s="29"/>
      <c r="N744" s="29"/>
      <c r="O744" s="33"/>
      <c r="P744" s="29"/>
      <c r="Q744" s="29"/>
      <c r="R744" s="32"/>
      <c r="S744" s="29"/>
      <c r="T744" s="34"/>
      <c r="U744" s="29"/>
      <c r="V744" s="29"/>
      <c r="W744" s="28"/>
      <c r="X744" s="28"/>
      <c r="Y744" s="35"/>
      <c r="Z744" s="28"/>
      <c r="AA744" s="36"/>
      <c r="AB744" s="36"/>
    </row>
    <row r="745">
      <c r="A745" s="28"/>
      <c r="B745" s="29"/>
      <c r="C745" s="29"/>
      <c r="D745" s="30"/>
      <c r="E745" s="31"/>
      <c r="F745" s="29"/>
      <c r="G745" s="29"/>
      <c r="H745" s="29"/>
      <c r="I745" s="29"/>
      <c r="J745" s="29"/>
      <c r="K745" s="29"/>
      <c r="L745" s="32"/>
      <c r="M745" s="29"/>
      <c r="N745" s="29"/>
      <c r="O745" s="33"/>
      <c r="P745" s="29"/>
      <c r="Q745" s="29"/>
      <c r="R745" s="32"/>
      <c r="S745" s="29"/>
      <c r="T745" s="34"/>
      <c r="U745" s="29"/>
      <c r="V745" s="29"/>
      <c r="W745" s="28"/>
      <c r="X745" s="28"/>
      <c r="Y745" s="35"/>
      <c r="Z745" s="28"/>
      <c r="AA745" s="36"/>
      <c r="AB745" s="36"/>
    </row>
    <row r="746">
      <c r="A746" s="28"/>
      <c r="B746" s="29"/>
      <c r="C746" s="29"/>
      <c r="D746" s="30"/>
      <c r="E746" s="31"/>
      <c r="F746" s="29"/>
      <c r="G746" s="29"/>
      <c r="H746" s="29"/>
      <c r="I746" s="29"/>
      <c r="J746" s="29"/>
      <c r="K746" s="29"/>
      <c r="L746" s="32"/>
      <c r="M746" s="29"/>
      <c r="N746" s="29"/>
      <c r="O746" s="33"/>
      <c r="P746" s="29"/>
      <c r="Q746" s="29"/>
      <c r="R746" s="32"/>
      <c r="S746" s="29"/>
      <c r="T746" s="34"/>
      <c r="U746" s="29"/>
      <c r="V746" s="29"/>
      <c r="W746" s="28"/>
      <c r="X746" s="28"/>
      <c r="Y746" s="35"/>
      <c r="Z746" s="28"/>
      <c r="AA746" s="36"/>
      <c r="AB746" s="36"/>
    </row>
    <row r="747">
      <c r="A747" s="28"/>
      <c r="B747" s="29"/>
      <c r="C747" s="29"/>
      <c r="D747" s="30"/>
      <c r="E747" s="31"/>
      <c r="F747" s="29"/>
      <c r="G747" s="29"/>
      <c r="H747" s="29"/>
      <c r="I747" s="29"/>
      <c r="J747" s="29"/>
      <c r="K747" s="29"/>
      <c r="L747" s="32"/>
      <c r="M747" s="29"/>
      <c r="N747" s="29"/>
      <c r="O747" s="33"/>
      <c r="P747" s="29"/>
      <c r="Q747" s="29"/>
      <c r="R747" s="32"/>
      <c r="S747" s="29"/>
      <c r="T747" s="34"/>
      <c r="U747" s="29"/>
      <c r="V747" s="29"/>
      <c r="W747" s="28"/>
      <c r="X747" s="28"/>
      <c r="Y747" s="35"/>
      <c r="Z747" s="28"/>
      <c r="AA747" s="36"/>
      <c r="AB747" s="36"/>
    </row>
    <row r="748">
      <c r="A748" s="28"/>
      <c r="B748" s="29"/>
      <c r="C748" s="29"/>
      <c r="D748" s="30"/>
      <c r="E748" s="31"/>
      <c r="F748" s="29"/>
      <c r="G748" s="29"/>
      <c r="H748" s="29"/>
      <c r="I748" s="29"/>
      <c r="J748" s="29"/>
      <c r="K748" s="29"/>
      <c r="L748" s="32"/>
      <c r="M748" s="29"/>
      <c r="N748" s="29"/>
      <c r="O748" s="33"/>
      <c r="P748" s="29"/>
      <c r="Q748" s="29"/>
      <c r="R748" s="32"/>
      <c r="S748" s="29"/>
      <c r="T748" s="34"/>
      <c r="U748" s="29"/>
      <c r="V748" s="29"/>
      <c r="W748" s="28"/>
      <c r="X748" s="28"/>
      <c r="Y748" s="35"/>
      <c r="Z748" s="28"/>
      <c r="AA748" s="36"/>
      <c r="AB748" s="36"/>
    </row>
    <row r="749">
      <c r="A749" s="28"/>
      <c r="B749" s="29"/>
      <c r="C749" s="29"/>
      <c r="D749" s="30"/>
      <c r="E749" s="31"/>
      <c r="F749" s="29"/>
      <c r="G749" s="29"/>
      <c r="H749" s="29"/>
      <c r="I749" s="29"/>
      <c r="J749" s="29"/>
      <c r="K749" s="29"/>
      <c r="L749" s="32"/>
      <c r="M749" s="29"/>
      <c r="N749" s="29"/>
      <c r="O749" s="33"/>
      <c r="P749" s="29"/>
      <c r="Q749" s="29"/>
      <c r="R749" s="32"/>
      <c r="S749" s="29"/>
      <c r="T749" s="34"/>
      <c r="U749" s="29"/>
      <c r="V749" s="29"/>
      <c r="W749" s="28"/>
      <c r="X749" s="28"/>
      <c r="Y749" s="35"/>
      <c r="Z749" s="28"/>
      <c r="AA749" s="36"/>
      <c r="AB749" s="36"/>
    </row>
    <row r="750">
      <c r="A750" s="28"/>
      <c r="B750" s="29"/>
      <c r="C750" s="29"/>
      <c r="D750" s="30"/>
      <c r="E750" s="31"/>
      <c r="F750" s="29"/>
      <c r="G750" s="29"/>
      <c r="H750" s="29"/>
      <c r="I750" s="29"/>
      <c r="J750" s="29"/>
      <c r="K750" s="29"/>
      <c r="L750" s="32"/>
      <c r="M750" s="29"/>
      <c r="N750" s="29"/>
      <c r="O750" s="33"/>
      <c r="P750" s="29"/>
      <c r="Q750" s="29"/>
      <c r="R750" s="32"/>
      <c r="S750" s="29"/>
      <c r="T750" s="34"/>
      <c r="U750" s="29"/>
      <c r="V750" s="29"/>
      <c r="W750" s="28"/>
      <c r="X750" s="28"/>
      <c r="Y750" s="35"/>
      <c r="Z750" s="28"/>
      <c r="AA750" s="36"/>
      <c r="AB750" s="36"/>
    </row>
    <row r="751">
      <c r="A751" s="28"/>
      <c r="B751" s="29"/>
      <c r="C751" s="29"/>
      <c r="D751" s="30"/>
      <c r="E751" s="31"/>
      <c r="F751" s="29"/>
      <c r="G751" s="29"/>
      <c r="H751" s="29"/>
      <c r="I751" s="29"/>
      <c r="J751" s="29"/>
      <c r="K751" s="29"/>
      <c r="L751" s="32"/>
      <c r="M751" s="29"/>
      <c r="N751" s="29"/>
      <c r="O751" s="33"/>
      <c r="P751" s="29"/>
      <c r="Q751" s="29"/>
      <c r="R751" s="32"/>
      <c r="S751" s="29"/>
      <c r="T751" s="34"/>
      <c r="U751" s="29"/>
      <c r="V751" s="29"/>
      <c r="W751" s="28"/>
      <c r="X751" s="28"/>
      <c r="Y751" s="35"/>
      <c r="Z751" s="28"/>
      <c r="AA751" s="36"/>
      <c r="AB751" s="36"/>
    </row>
    <row r="752">
      <c r="A752" s="28"/>
      <c r="B752" s="29"/>
      <c r="C752" s="29"/>
      <c r="D752" s="30"/>
      <c r="E752" s="31"/>
      <c r="F752" s="29"/>
      <c r="G752" s="29"/>
      <c r="H752" s="29"/>
      <c r="I752" s="29"/>
      <c r="J752" s="29"/>
      <c r="K752" s="29"/>
      <c r="L752" s="32"/>
      <c r="M752" s="29"/>
      <c r="N752" s="29"/>
      <c r="O752" s="33"/>
      <c r="P752" s="29"/>
      <c r="Q752" s="29"/>
      <c r="R752" s="32"/>
      <c r="S752" s="29"/>
      <c r="T752" s="34"/>
      <c r="U752" s="29"/>
      <c r="V752" s="29"/>
      <c r="W752" s="28"/>
      <c r="X752" s="28"/>
      <c r="Y752" s="35"/>
      <c r="Z752" s="28"/>
      <c r="AA752" s="36"/>
      <c r="AB752" s="36"/>
    </row>
    <row r="753">
      <c r="A753" s="28"/>
      <c r="B753" s="29"/>
      <c r="C753" s="29"/>
      <c r="D753" s="30"/>
      <c r="E753" s="31"/>
      <c r="F753" s="29"/>
      <c r="G753" s="29"/>
      <c r="H753" s="29"/>
      <c r="I753" s="29"/>
      <c r="J753" s="29"/>
      <c r="K753" s="29"/>
      <c r="L753" s="32"/>
      <c r="M753" s="29"/>
      <c r="N753" s="29"/>
      <c r="O753" s="33"/>
      <c r="P753" s="29"/>
      <c r="Q753" s="29"/>
      <c r="R753" s="32"/>
      <c r="S753" s="29"/>
      <c r="T753" s="34"/>
      <c r="U753" s="29"/>
      <c r="V753" s="29"/>
      <c r="W753" s="28"/>
      <c r="X753" s="28"/>
      <c r="Y753" s="35"/>
      <c r="Z753" s="28"/>
      <c r="AA753" s="36"/>
      <c r="AB753" s="36"/>
    </row>
    <row r="754">
      <c r="A754" s="28"/>
      <c r="B754" s="29"/>
      <c r="C754" s="29"/>
      <c r="D754" s="30"/>
      <c r="E754" s="31"/>
      <c r="F754" s="29"/>
      <c r="G754" s="29"/>
      <c r="H754" s="29"/>
      <c r="I754" s="29"/>
      <c r="J754" s="29"/>
      <c r="K754" s="29"/>
      <c r="L754" s="32"/>
      <c r="M754" s="29"/>
      <c r="N754" s="29"/>
      <c r="O754" s="33"/>
      <c r="P754" s="29"/>
      <c r="Q754" s="29"/>
      <c r="R754" s="32"/>
      <c r="S754" s="29"/>
      <c r="T754" s="34"/>
      <c r="U754" s="29"/>
      <c r="V754" s="29"/>
      <c r="W754" s="28"/>
      <c r="X754" s="28"/>
      <c r="Y754" s="35"/>
      <c r="Z754" s="28"/>
      <c r="AA754" s="36"/>
      <c r="AB754" s="36"/>
    </row>
    <row r="755">
      <c r="A755" s="28"/>
      <c r="B755" s="29"/>
      <c r="C755" s="29"/>
      <c r="D755" s="30"/>
      <c r="E755" s="31"/>
      <c r="F755" s="29"/>
      <c r="G755" s="29"/>
      <c r="H755" s="29"/>
      <c r="I755" s="29"/>
      <c r="J755" s="29"/>
      <c r="K755" s="29"/>
      <c r="L755" s="32"/>
      <c r="M755" s="29"/>
      <c r="N755" s="29"/>
      <c r="O755" s="33"/>
      <c r="P755" s="29"/>
      <c r="Q755" s="29"/>
      <c r="R755" s="32"/>
      <c r="S755" s="29"/>
      <c r="T755" s="34"/>
      <c r="U755" s="29"/>
      <c r="V755" s="29"/>
      <c r="W755" s="28"/>
      <c r="X755" s="28"/>
      <c r="Y755" s="35"/>
      <c r="Z755" s="28"/>
      <c r="AA755" s="36"/>
      <c r="AB755" s="36"/>
    </row>
    <row r="756">
      <c r="A756" s="28"/>
      <c r="B756" s="29"/>
      <c r="C756" s="29"/>
      <c r="D756" s="30"/>
      <c r="E756" s="31"/>
      <c r="F756" s="29"/>
      <c r="G756" s="29"/>
      <c r="H756" s="29"/>
      <c r="I756" s="29"/>
      <c r="J756" s="29"/>
      <c r="K756" s="29"/>
      <c r="L756" s="32"/>
      <c r="M756" s="29"/>
      <c r="N756" s="29"/>
      <c r="O756" s="33"/>
      <c r="P756" s="29"/>
      <c r="Q756" s="29"/>
      <c r="R756" s="32"/>
      <c r="S756" s="29"/>
      <c r="T756" s="34"/>
      <c r="U756" s="29"/>
      <c r="V756" s="29"/>
      <c r="W756" s="28"/>
      <c r="X756" s="28"/>
      <c r="Y756" s="35"/>
      <c r="Z756" s="28"/>
      <c r="AA756" s="36"/>
      <c r="AB756" s="36"/>
    </row>
    <row r="757">
      <c r="A757" s="28"/>
      <c r="B757" s="29"/>
      <c r="C757" s="29"/>
      <c r="D757" s="30"/>
      <c r="E757" s="31"/>
      <c r="F757" s="29"/>
      <c r="G757" s="29"/>
      <c r="H757" s="29"/>
      <c r="I757" s="29"/>
      <c r="J757" s="29"/>
      <c r="K757" s="29"/>
      <c r="L757" s="32"/>
      <c r="M757" s="29"/>
      <c r="N757" s="29"/>
      <c r="O757" s="33"/>
      <c r="P757" s="29"/>
      <c r="Q757" s="29"/>
      <c r="R757" s="32"/>
      <c r="S757" s="29"/>
      <c r="T757" s="34"/>
      <c r="U757" s="29"/>
      <c r="V757" s="29"/>
      <c r="W757" s="28"/>
      <c r="X757" s="28"/>
      <c r="Y757" s="35"/>
      <c r="Z757" s="28"/>
      <c r="AA757" s="36"/>
      <c r="AB757" s="36"/>
    </row>
    <row r="758">
      <c r="A758" s="28"/>
      <c r="B758" s="29"/>
      <c r="C758" s="29"/>
      <c r="D758" s="30"/>
      <c r="E758" s="31"/>
      <c r="F758" s="29"/>
      <c r="G758" s="29"/>
      <c r="H758" s="29"/>
      <c r="I758" s="29"/>
      <c r="J758" s="29"/>
      <c r="K758" s="29"/>
      <c r="L758" s="32"/>
      <c r="M758" s="29"/>
      <c r="N758" s="29"/>
      <c r="O758" s="33"/>
      <c r="P758" s="29"/>
      <c r="Q758" s="29"/>
      <c r="R758" s="32"/>
      <c r="S758" s="29"/>
      <c r="T758" s="34"/>
      <c r="U758" s="29"/>
      <c r="V758" s="29"/>
      <c r="W758" s="28"/>
      <c r="X758" s="28"/>
      <c r="Y758" s="35"/>
      <c r="Z758" s="28"/>
      <c r="AA758" s="36"/>
      <c r="AB758" s="36"/>
    </row>
    <row r="759">
      <c r="A759" s="28"/>
      <c r="B759" s="29"/>
      <c r="C759" s="29"/>
      <c r="D759" s="30"/>
      <c r="E759" s="31"/>
      <c r="F759" s="29"/>
      <c r="G759" s="29"/>
      <c r="H759" s="29"/>
      <c r="I759" s="29"/>
      <c r="J759" s="29"/>
      <c r="K759" s="29"/>
      <c r="L759" s="32"/>
      <c r="M759" s="29"/>
      <c r="N759" s="29"/>
      <c r="O759" s="33"/>
      <c r="P759" s="29"/>
      <c r="Q759" s="29"/>
      <c r="R759" s="32"/>
      <c r="S759" s="29"/>
      <c r="T759" s="34"/>
      <c r="U759" s="29"/>
      <c r="V759" s="29"/>
      <c r="W759" s="28"/>
      <c r="X759" s="28"/>
      <c r="Y759" s="35"/>
      <c r="Z759" s="28"/>
      <c r="AA759" s="36"/>
      <c r="AB759" s="36"/>
    </row>
    <row r="760">
      <c r="A760" s="28"/>
      <c r="B760" s="29"/>
      <c r="C760" s="29"/>
      <c r="D760" s="30"/>
      <c r="E760" s="31"/>
      <c r="F760" s="29"/>
      <c r="G760" s="29"/>
      <c r="H760" s="29"/>
      <c r="I760" s="29"/>
      <c r="J760" s="29"/>
      <c r="K760" s="29"/>
      <c r="L760" s="32"/>
      <c r="M760" s="29"/>
      <c r="N760" s="29"/>
      <c r="O760" s="33"/>
      <c r="P760" s="29"/>
      <c r="Q760" s="29"/>
      <c r="R760" s="32"/>
      <c r="S760" s="29"/>
      <c r="T760" s="34"/>
      <c r="U760" s="29"/>
      <c r="V760" s="29"/>
      <c r="W760" s="28"/>
      <c r="X760" s="28"/>
      <c r="Y760" s="35"/>
      <c r="Z760" s="28"/>
      <c r="AA760" s="36"/>
      <c r="AB760" s="36"/>
    </row>
    <row r="761">
      <c r="A761" s="28"/>
      <c r="B761" s="29"/>
      <c r="C761" s="29"/>
      <c r="D761" s="30"/>
      <c r="E761" s="31"/>
      <c r="F761" s="29"/>
      <c r="G761" s="29"/>
      <c r="H761" s="29"/>
      <c r="I761" s="29"/>
      <c r="J761" s="29"/>
      <c r="K761" s="29"/>
      <c r="L761" s="32"/>
      <c r="M761" s="29"/>
      <c r="N761" s="29"/>
      <c r="O761" s="33"/>
      <c r="P761" s="29"/>
      <c r="Q761" s="29"/>
      <c r="R761" s="32"/>
      <c r="S761" s="29"/>
      <c r="T761" s="34"/>
      <c r="U761" s="29"/>
      <c r="V761" s="29"/>
      <c r="W761" s="28"/>
      <c r="X761" s="28"/>
      <c r="Y761" s="35"/>
      <c r="Z761" s="28"/>
      <c r="AA761" s="36"/>
      <c r="AB761" s="36"/>
    </row>
    <row r="762">
      <c r="A762" s="28"/>
      <c r="B762" s="29"/>
      <c r="C762" s="29"/>
      <c r="D762" s="30"/>
      <c r="E762" s="31"/>
      <c r="F762" s="29"/>
      <c r="G762" s="29"/>
      <c r="H762" s="29"/>
      <c r="I762" s="29"/>
      <c r="J762" s="29"/>
      <c r="K762" s="29"/>
      <c r="L762" s="32"/>
      <c r="M762" s="29"/>
      <c r="N762" s="29"/>
      <c r="O762" s="33"/>
      <c r="P762" s="29"/>
      <c r="Q762" s="29"/>
      <c r="R762" s="32"/>
      <c r="S762" s="29"/>
      <c r="T762" s="34"/>
      <c r="U762" s="29"/>
      <c r="V762" s="29"/>
      <c r="W762" s="28"/>
      <c r="X762" s="28"/>
      <c r="Y762" s="35"/>
      <c r="Z762" s="28"/>
      <c r="AA762" s="36"/>
      <c r="AB762" s="36"/>
    </row>
    <row r="763">
      <c r="A763" s="28"/>
      <c r="B763" s="29"/>
      <c r="C763" s="29"/>
      <c r="D763" s="30"/>
      <c r="E763" s="31"/>
      <c r="F763" s="29"/>
      <c r="G763" s="29"/>
      <c r="H763" s="29"/>
      <c r="I763" s="29"/>
      <c r="J763" s="29"/>
      <c r="K763" s="29"/>
      <c r="L763" s="32"/>
      <c r="M763" s="29"/>
      <c r="N763" s="29"/>
      <c r="O763" s="33"/>
      <c r="P763" s="29"/>
      <c r="Q763" s="29"/>
      <c r="R763" s="32"/>
      <c r="S763" s="29"/>
      <c r="T763" s="34"/>
      <c r="U763" s="29"/>
      <c r="V763" s="29"/>
      <c r="W763" s="28"/>
      <c r="X763" s="28"/>
      <c r="Y763" s="35"/>
      <c r="Z763" s="28"/>
      <c r="AA763" s="36"/>
      <c r="AB763" s="36"/>
    </row>
    <row r="764">
      <c r="A764" s="28"/>
      <c r="B764" s="29"/>
      <c r="C764" s="29"/>
      <c r="D764" s="30"/>
      <c r="E764" s="31"/>
      <c r="F764" s="29"/>
      <c r="G764" s="29"/>
      <c r="H764" s="29"/>
      <c r="I764" s="29"/>
      <c r="J764" s="29"/>
      <c r="K764" s="29"/>
      <c r="L764" s="32"/>
      <c r="M764" s="29"/>
      <c r="N764" s="29"/>
      <c r="O764" s="33"/>
      <c r="P764" s="29"/>
      <c r="Q764" s="29"/>
      <c r="R764" s="32"/>
      <c r="S764" s="29"/>
      <c r="T764" s="34"/>
      <c r="U764" s="29"/>
      <c r="V764" s="29"/>
      <c r="W764" s="28"/>
      <c r="X764" s="28"/>
      <c r="Y764" s="35"/>
      <c r="Z764" s="28"/>
      <c r="AA764" s="36"/>
      <c r="AB764" s="36"/>
    </row>
    <row r="765">
      <c r="A765" s="28"/>
      <c r="B765" s="29"/>
      <c r="C765" s="29"/>
      <c r="D765" s="30"/>
      <c r="E765" s="31"/>
      <c r="F765" s="29"/>
      <c r="G765" s="29"/>
      <c r="H765" s="29"/>
      <c r="I765" s="29"/>
      <c r="J765" s="29"/>
      <c r="K765" s="29"/>
      <c r="L765" s="32"/>
      <c r="M765" s="29"/>
      <c r="N765" s="29"/>
      <c r="O765" s="33"/>
      <c r="P765" s="29"/>
      <c r="Q765" s="29"/>
      <c r="R765" s="32"/>
      <c r="S765" s="29"/>
      <c r="T765" s="34"/>
      <c r="U765" s="29"/>
      <c r="V765" s="29"/>
      <c r="W765" s="28"/>
      <c r="X765" s="28"/>
      <c r="Y765" s="35"/>
      <c r="Z765" s="28"/>
      <c r="AA765" s="36"/>
      <c r="AB765" s="36"/>
    </row>
    <row r="766">
      <c r="A766" s="28"/>
      <c r="B766" s="29"/>
      <c r="C766" s="29"/>
      <c r="D766" s="30"/>
      <c r="E766" s="31"/>
      <c r="F766" s="29"/>
      <c r="G766" s="29"/>
      <c r="H766" s="29"/>
      <c r="I766" s="29"/>
      <c r="J766" s="29"/>
      <c r="K766" s="29"/>
      <c r="L766" s="32"/>
      <c r="M766" s="29"/>
      <c r="N766" s="29"/>
      <c r="O766" s="33"/>
      <c r="P766" s="29"/>
      <c r="Q766" s="29"/>
      <c r="R766" s="32"/>
      <c r="S766" s="29"/>
      <c r="T766" s="34"/>
      <c r="U766" s="29"/>
      <c r="V766" s="29"/>
      <c r="W766" s="28"/>
      <c r="X766" s="28"/>
      <c r="Y766" s="35"/>
      <c r="Z766" s="28"/>
      <c r="AA766" s="36"/>
      <c r="AB766" s="36"/>
    </row>
    <row r="767">
      <c r="A767" s="28"/>
      <c r="B767" s="29"/>
      <c r="C767" s="29"/>
      <c r="D767" s="30"/>
      <c r="E767" s="31"/>
      <c r="F767" s="29"/>
      <c r="G767" s="29"/>
      <c r="H767" s="29"/>
      <c r="I767" s="29"/>
      <c r="J767" s="29"/>
      <c r="K767" s="29"/>
      <c r="L767" s="32"/>
      <c r="M767" s="29"/>
      <c r="N767" s="29"/>
      <c r="O767" s="33"/>
      <c r="P767" s="29"/>
      <c r="Q767" s="29"/>
      <c r="R767" s="32"/>
      <c r="S767" s="29"/>
      <c r="T767" s="34"/>
      <c r="U767" s="29"/>
      <c r="V767" s="29"/>
      <c r="W767" s="28"/>
      <c r="X767" s="28"/>
      <c r="Y767" s="35"/>
      <c r="Z767" s="28"/>
      <c r="AA767" s="36"/>
      <c r="AB767" s="36"/>
    </row>
    <row r="768">
      <c r="A768" s="28"/>
      <c r="B768" s="29"/>
      <c r="C768" s="29"/>
      <c r="D768" s="30"/>
      <c r="E768" s="31"/>
      <c r="F768" s="29"/>
      <c r="G768" s="29"/>
      <c r="H768" s="29"/>
      <c r="I768" s="29"/>
      <c r="J768" s="29"/>
      <c r="K768" s="29"/>
      <c r="L768" s="32"/>
      <c r="M768" s="29"/>
      <c r="N768" s="29"/>
      <c r="O768" s="33"/>
      <c r="P768" s="29"/>
      <c r="Q768" s="29"/>
      <c r="R768" s="32"/>
      <c r="S768" s="29"/>
      <c r="T768" s="34"/>
      <c r="U768" s="29"/>
      <c r="V768" s="29"/>
      <c r="W768" s="28"/>
      <c r="X768" s="28"/>
      <c r="Y768" s="35"/>
      <c r="Z768" s="28"/>
      <c r="AA768" s="36"/>
      <c r="AB768" s="36"/>
    </row>
    <row r="769">
      <c r="A769" s="28"/>
      <c r="B769" s="29"/>
      <c r="C769" s="29"/>
      <c r="D769" s="30"/>
      <c r="E769" s="31"/>
      <c r="F769" s="29"/>
      <c r="G769" s="29"/>
      <c r="H769" s="29"/>
      <c r="I769" s="29"/>
      <c r="J769" s="29"/>
      <c r="K769" s="29"/>
      <c r="L769" s="32"/>
      <c r="M769" s="29"/>
      <c r="N769" s="29"/>
      <c r="O769" s="33"/>
      <c r="P769" s="29"/>
      <c r="Q769" s="29"/>
      <c r="R769" s="32"/>
      <c r="S769" s="29"/>
      <c r="T769" s="34"/>
      <c r="U769" s="29"/>
      <c r="V769" s="29"/>
      <c r="W769" s="28"/>
      <c r="X769" s="28"/>
      <c r="Y769" s="35"/>
      <c r="Z769" s="28"/>
      <c r="AA769" s="36"/>
      <c r="AB769" s="36"/>
    </row>
    <row r="770">
      <c r="A770" s="28"/>
      <c r="B770" s="29"/>
      <c r="C770" s="29"/>
      <c r="D770" s="30"/>
      <c r="E770" s="31"/>
      <c r="F770" s="29"/>
      <c r="G770" s="29"/>
      <c r="H770" s="29"/>
      <c r="I770" s="29"/>
      <c r="J770" s="29"/>
      <c r="K770" s="29"/>
      <c r="L770" s="32"/>
      <c r="M770" s="29"/>
      <c r="N770" s="29"/>
      <c r="O770" s="33"/>
      <c r="P770" s="29"/>
      <c r="Q770" s="29"/>
      <c r="R770" s="32"/>
      <c r="S770" s="29"/>
      <c r="T770" s="34"/>
      <c r="U770" s="29"/>
      <c r="V770" s="29"/>
      <c r="W770" s="28"/>
      <c r="X770" s="28"/>
      <c r="Y770" s="35"/>
      <c r="Z770" s="28"/>
      <c r="AA770" s="36"/>
      <c r="AB770" s="36"/>
    </row>
    <row r="771">
      <c r="A771" s="28"/>
      <c r="B771" s="29"/>
      <c r="C771" s="29"/>
      <c r="D771" s="30"/>
      <c r="E771" s="31"/>
      <c r="F771" s="29"/>
      <c r="G771" s="29"/>
      <c r="H771" s="29"/>
      <c r="I771" s="29"/>
      <c r="J771" s="29"/>
      <c r="K771" s="29"/>
      <c r="L771" s="32"/>
      <c r="M771" s="29"/>
      <c r="N771" s="29"/>
      <c r="O771" s="33"/>
      <c r="P771" s="29"/>
      <c r="Q771" s="29"/>
      <c r="R771" s="32"/>
      <c r="S771" s="29"/>
      <c r="T771" s="34"/>
      <c r="U771" s="29"/>
      <c r="V771" s="29"/>
      <c r="W771" s="28"/>
      <c r="X771" s="28"/>
      <c r="Y771" s="35"/>
      <c r="Z771" s="28"/>
      <c r="AA771" s="36"/>
      <c r="AB771" s="36"/>
    </row>
    <row r="772">
      <c r="A772" s="28"/>
      <c r="B772" s="29"/>
      <c r="C772" s="29"/>
      <c r="D772" s="30"/>
      <c r="E772" s="31"/>
      <c r="F772" s="29"/>
      <c r="G772" s="29"/>
      <c r="H772" s="29"/>
      <c r="I772" s="29"/>
      <c r="J772" s="29"/>
      <c r="K772" s="29"/>
      <c r="L772" s="32"/>
      <c r="M772" s="29"/>
      <c r="N772" s="29"/>
      <c r="O772" s="33"/>
      <c r="P772" s="29"/>
      <c r="Q772" s="29"/>
      <c r="R772" s="32"/>
      <c r="S772" s="29"/>
      <c r="T772" s="34"/>
      <c r="U772" s="29"/>
      <c r="V772" s="29"/>
      <c r="W772" s="28"/>
      <c r="X772" s="28"/>
      <c r="Y772" s="35"/>
      <c r="Z772" s="28"/>
      <c r="AA772" s="36"/>
      <c r="AB772" s="36"/>
    </row>
    <row r="773">
      <c r="A773" s="28"/>
      <c r="B773" s="29"/>
      <c r="C773" s="29"/>
      <c r="D773" s="30"/>
      <c r="E773" s="31"/>
      <c r="F773" s="29"/>
      <c r="G773" s="29"/>
      <c r="H773" s="29"/>
      <c r="I773" s="29"/>
      <c r="J773" s="29"/>
      <c r="K773" s="29"/>
      <c r="L773" s="32"/>
      <c r="M773" s="29"/>
      <c r="N773" s="29"/>
      <c r="O773" s="33"/>
      <c r="P773" s="29"/>
      <c r="Q773" s="29"/>
      <c r="R773" s="32"/>
      <c r="S773" s="29"/>
      <c r="T773" s="34"/>
      <c r="U773" s="29"/>
      <c r="V773" s="29"/>
      <c r="W773" s="28"/>
      <c r="X773" s="28"/>
      <c r="Y773" s="35"/>
      <c r="Z773" s="28"/>
      <c r="AA773" s="36"/>
      <c r="AB773" s="36"/>
    </row>
    <row r="774">
      <c r="A774" s="28"/>
      <c r="B774" s="29"/>
      <c r="C774" s="29"/>
      <c r="D774" s="30"/>
      <c r="E774" s="31"/>
      <c r="F774" s="29"/>
      <c r="G774" s="29"/>
      <c r="H774" s="29"/>
      <c r="I774" s="29"/>
      <c r="J774" s="29"/>
      <c r="K774" s="29"/>
      <c r="L774" s="32"/>
      <c r="M774" s="29"/>
      <c r="N774" s="29"/>
      <c r="O774" s="33"/>
      <c r="P774" s="29"/>
      <c r="Q774" s="29"/>
      <c r="R774" s="32"/>
      <c r="S774" s="29"/>
      <c r="T774" s="34"/>
      <c r="U774" s="29"/>
      <c r="V774" s="29"/>
      <c r="W774" s="28"/>
      <c r="X774" s="28"/>
      <c r="Y774" s="35"/>
      <c r="Z774" s="28"/>
      <c r="AA774" s="36"/>
      <c r="AB774" s="36"/>
    </row>
    <row r="775">
      <c r="A775" s="28"/>
      <c r="B775" s="29"/>
      <c r="C775" s="29"/>
      <c r="D775" s="30"/>
      <c r="E775" s="31"/>
      <c r="F775" s="29"/>
      <c r="G775" s="29"/>
      <c r="H775" s="29"/>
      <c r="I775" s="29"/>
      <c r="J775" s="29"/>
      <c r="K775" s="29"/>
      <c r="L775" s="32"/>
      <c r="M775" s="29"/>
      <c r="N775" s="29"/>
      <c r="O775" s="33"/>
      <c r="P775" s="29"/>
      <c r="Q775" s="29"/>
      <c r="R775" s="32"/>
      <c r="S775" s="29"/>
      <c r="T775" s="34"/>
      <c r="U775" s="29"/>
      <c r="V775" s="29"/>
      <c r="W775" s="28"/>
      <c r="X775" s="28"/>
      <c r="Y775" s="35"/>
      <c r="Z775" s="28"/>
      <c r="AA775" s="36"/>
      <c r="AB775" s="36"/>
    </row>
    <row r="776">
      <c r="A776" s="28"/>
      <c r="B776" s="29"/>
      <c r="C776" s="29"/>
      <c r="D776" s="30"/>
      <c r="E776" s="31"/>
      <c r="F776" s="29"/>
      <c r="G776" s="29"/>
      <c r="H776" s="29"/>
      <c r="I776" s="29"/>
      <c r="J776" s="29"/>
      <c r="K776" s="29"/>
      <c r="L776" s="32"/>
      <c r="M776" s="29"/>
      <c r="N776" s="29"/>
      <c r="O776" s="33"/>
      <c r="P776" s="29"/>
      <c r="Q776" s="29"/>
      <c r="R776" s="32"/>
      <c r="S776" s="29"/>
      <c r="T776" s="34"/>
      <c r="U776" s="29"/>
      <c r="V776" s="29"/>
      <c r="W776" s="28"/>
      <c r="X776" s="28"/>
      <c r="Y776" s="35"/>
      <c r="Z776" s="28"/>
      <c r="AA776" s="36"/>
      <c r="AB776" s="36"/>
    </row>
    <row r="777">
      <c r="A777" s="28"/>
      <c r="B777" s="29"/>
      <c r="C777" s="29"/>
      <c r="D777" s="30"/>
      <c r="E777" s="31"/>
      <c r="F777" s="29"/>
      <c r="G777" s="29"/>
      <c r="H777" s="29"/>
      <c r="I777" s="29"/>
      <c r="J777" s="29"/>
      <c r="K777" s="29"/>
      <c r="L777" s="32"/>
      <c r="M777" s="29"/>
      <c r="N777" s="29"/>
      <c r="O777" s="33"/>
      <c r="P777" s="29"/>
      <c r="Q777" s="29"/>
      <c r="R777" s="32"/>
      <c r="S777" s="29"/>
      <c r="T777" s="34"/>
      <c r="U777" s="29"/>
      <c r="V777" s="29"/>
      <c r="W777" s="28"/>
      <c r="X777" s="28"/>
      <c r="Y777" s="35"/>
      <c r="Z777" s="28"/>
      <c r="AA777" s="36"/>
      <c r="AB777" s="36"/>
    </row>
    <row r="778">
      <c r="A778" s="28"/>
      <c r="B778" s="29"/>
      <c r="C778" s="29"/>
      <c r="D778" s="30"/>
      <c r="E778" s="31"/>
      <c r="F778" s="29"/>
      <c r="G778" s="29"/>
      <c r="H778" s="29"/>
      <c r="I778" s="29"/>
      <c r="J778" s="29"/>
      <c r="K778" s="29"/>
      <c r="L778" s="32"/>
      <c r="M778" s="29"/>
      <c r="N778" s="29"/>
      <c r="O778" s="33"/>
      <c r="P778" s="29"/>
      <c r="Q778" s="29"/>
      <c r="R778" s="32"/>
      <c r="S778" s="29"/>
      <c r="T778" s="34"/>
      <c r="U778" s="29"/>
      <c r="V778" s="29"/>
      <c r="W778" s="28"/>
      <c r="X778" s="28"/>
      <c r="Y778" s="35"/>
      <c r="Z778" s="28"/>
      <c r="AA778" s="36"/>
      <c r="AB778" s="36"/>
    </row>
    <row r="779">
      <c r="A779" s="28"/>
      <c r="B779" s="29"/>
      <c r="C779" s="29"/>
      <c r="D779" s="30"/>
      <c r="E779" s="31"/>
      <c r="F779" s="29"/>
      <c r="G779" s="29"/>
      <c r="H779" s="29"/>
      <c r="I779" s="29"/>
      <c r="J779" s="29"/>
      <c r="K779" s="29"/>
      <c r="L779" s="32"/>
      <c r="M779" s="29"/>
      <c r="N779" s="29"/>
      <c r="O779" s="33"/>
      <c r="P779" s="29"/>
      <c r="Q779" s="29"/>
      <c r="R779" s="32"/>
      <c r="S779" s="29"/>
      <c r="T779" s="34"/>
      <c r="U779" s="29"/>
      <c r="V779" s="29"/>
      <c r="W779" s="28"/>
      <c r="X779" s="28"/>
      <c r="Y779" s="35"/>
      <c r="Z779" s="28"/>
      <c r="AA779" s="36"/>
      <c r="AB779" s="36"/>
    </row>
    <row r="780">
      <c r="A780" s="28"/>
      <c r="B780" s="29"/>
      <c r="C780" s="29"/>
      <c r="D780" s="30"/>
      <c r="E780" s="31"/>
      <c r="F780" s="29"/>
      <c r="G780" s="29"/>
      <c r="H780" s="29"/>
      <c r="I780" s="29"/>
      <c r="J780" s="29"/>
      <c r="K780" s="29"/>
      <c r="L780" s="32"/>
      <c r="M780" s="29"/>
      <c r="N780" s="29"/>
      <c r="O780" s="33"/>
      <c r="P780" s="29"/>
      <c r="Q780" s="29"/>
      <c r="R780" s="32"/>
      <c r="S780" s="29"/>
      <c r="T780" s="34"/>
      <c r="U780" s="29"/>
      <c r="V780" s="29"/>
      <c r="W780" s="28"/>
      <c r="X780" s="28"/>
      <c r="Y780" s="35"/>
      <c r="Z780" s="28"/>
      <c r="AA780" s="36"/>
      <c r="AB780" s="36"/>
    </row>
    <row r="781">
      <c r="A781" s="28"/>
      <c r="B781" s="29"/>
      <c r="C781" s="29"/>
      <c r="D781" s="30"/>
      <c r="E781" s="31"/>
      <c r="F781" s="29"/>
      <c r="G781" s="29"/>
      <c r="H781" s="29"/>
      <c r="I781" s="29"/>
      <c r="J781" s="29"/>
      <c r="K781" s="29"/>
      <c r="L781" s="32"/>
      <c r="M781" s="29"/>
      <c r="N781" s="29"/>
      <c r="O781" s="33"/>
      <c r="P781" s="29"/>
      <c r="Q781" s="29"/>
      <c r="R781" s="32"/>
      <c r="S781" s="29"/>
      <c r="T781" s="34"/>
      <c r="U781" s="29"/>
      <c r="V781" s="29"/>
      <c r="W781" s="28"/>
      <c r="X781" s="28"/>
      <c r="Y781" s="35"/>
      <c r="Z781" s="28"/>
      <c r="AA781" s="36"/>
      <c r="AB781" s="36"/>
    </row>
    <row r="782">
      <c r="A782" s="28"/>
      <c r="B782" s="29"/>
      <c r="C782" s="29"/>
      <c r="D782" s="30"/>
      <c r="E782" s="31"/>
      <c r="F782" s="29"/>
      <c r="G782" s="29"/>
      <c r="H782" s="29"/>
      <c r="I782" s="29"/>
      <c r="J782" s="29"/>
      <c r="K782" s="29"/>
      <c r="L782" s="32"/>
      <c r="M782" s="29"/>
      <c r="N782" s="29"/>
      <c r="O782" s="33"/>
      <c r="P782" s="29"/>
      <c r="Q782" s="29"/>
      <c r="R782" s="32"/>
      <c r="S782" s="29"/>
      <c r="T782" s="34"/>
      <c r="U782" s="29"/>
      <c r="V782" s="29"/>
      <c r="W782" s="28"/>
      <c r="X782" s="28"/>
      <c r="Y782" s="35"/>
      <c r="Z782" s="28"/>
      <c r="AA782" s="36"/>
      <c r="AB782" s="36"/>
    </row>
    <row r="783">
      <c r="A783" s="28"/>
      <c r="B783" s="29"/>
      <c r="C783" s="29"/>
      <c r="D783" s="30"/>
      <c r="E783" s="31"/>
      <c r="F783" s="29"/>
      <c r="G783" s="29"/>
      <c r="H783" s="29"/>
      <c r="I783" s="29"/>
      <c r="J783" s="29"/>
      <c r="K783" s="29"/>
      <c r="L783" s="32"/>
      <c r="M783" s="29"/>
      <c r="N783" s="29"/>
      <c r="O783" s="33"/>
      <c r="P783" s="29"/>
      <c r="Q783" s="29"/>
      <c r="R783" s="32"/>
      <c r="S783" s="29"/>
      <c r="T783" s="34"/>
      <c r="U783" s="29"/>
      <c r="V783" s="29"/>
      <c r="W783" s="28"/>
      <c r="X783" s="28"/>
      <c r="Y783" s="35"/>
      <c r="Z783" s="28"/>
      <c r="AA783" s="36"/>
      <c r="AB783" s="36"/>
    </row>
    <row r="784">
      <c r="A784" s="28"/>
      <c r="B784" s="29"/>
      <c r="C784" s="29"/>
      <c r="D784" s="30"/>
      <c r="E784" s="31"/>
      <c r="F784" s="29"/>
      <c r="G784" s="29"/>
      <c r="H784" s="29"/>
      <c r="I784" s="29"/>
      <c r="J784" s="29"/>
      <c r="K784" s="29"/>
      <c r="L784" s="32"/>
      <c r="M784" s="29"/>
      <c r="N784" s="29"/>
      <c r="O784" s="33"/>
      <c r="P784" s="29"/>
      <c r="Q784" s="29"/>
      <c r="R784" s="32"/>
      <c r="S784" s="29"/>
      <c r="T784" s="34"/>
      <c r="U784" s="29"/>
      <c r="V784" s="29"/>
      <c r="W784" s="28"/>
      <c r="X784" s="28"/>
      <c r="Y784" s="35"/>
      <c r="Z784" s="28"/>
      <c r="AA784" s="36"/>
      <c r="AB784" s="36"/>
    </row>
    <row r="785">
      <c r="A785" s="28"/>
      <c r="B785" s="29"/>
      <c r="C785" s="29"/>
      <c r="D785" s="30"/>
      <c r="E785" s="31"/>
      <c r="F785" s="29"/>
      <c r="G785" s="29"/>
      <c r="H785" s="29"/>
      <c r="I785" s="29"/>
      <c r="J785" s="29"/>
      <c r="K785" s="29"/>
      <c r="L785" s="32"/>
      <c r="M785" s="29"/>
      <c r="N785" s="29"/>
      <c r="O785" s="33"/>
      <c r="P785" s="29"/>
      <c r="Q785" s="29"/>
      <c r="R785" s="32"/>
      <c r="S785" s="29"/>
      <c r="T785" s="34"/>
      <c r="U785" s="29"/>
      <c r="V785" s="29"/>
      <c r="W785" s="28"/>
      <c r="X785" s="28"/>
      <c r="Y785" s="35"/>
      <c r="Z785" s="28"/>
      <c r="AA785" s="36"/>
      <c r="AB785" s="36"/>
    </row>
    <row r="786">
      <c r="A786" s="28"/>
      <c r="B786" s="29"/>
      <c r="C786" s="29"/>
      <c r="D786" s="30"/>
      <c r="E786" s="31"/>
      <c r="F786" s="29"/>
      <c r="G786" s="29"/>
      <c r="H786" s="29"/>
      <c r="I786" s="29"/>
      <c r="J786" s="29"/>
      <c r="K786" s="29"/>
      <c r="L786" s="32"/>
      <c r="M786" s="29"/>
      <c r="N786" s="29"/>
      <c r="O786" s="33"/>
      <c r="P786" s="29"/>
      <c r="Q786" s="29"/>
      <c r="R786" s="32"/>
      <c r="S786" s="29"/>
      <c r="T786" s="34"/>
      <c r="U786" s="29"/>
      <c r="V786" s="29"/>
      <c r="W786" s="28"/>
      <c r="X786" s="28"/>
      <c r="Y786" s="35"/>
      <c r="Z786" s="28"/>
      <c r="AA786" s="36"/>
      <c r="AB786" s="36"/>
    </row>
    <row r="787">
      <c r="A787" s="28"/>
      <c r="B787" s="29"/>
      <c r="C787" s="29"/>
      <c r="D787" s="30"/>
      <c r="E787" s="31"/>
      <c r="F787" s="29"/>
      <c r="G787" s="29"/>
      <c r="H787" s="29"/>
      <c r="I787" s="29"/>
      <c r="J787" s="29"/>
      <c r="K787" s="29"/>
      <c r="L787" s="32"/>
      <c r="M787" s="29"/>
      <c r="N787" s="29"/>
      <c r="O787" s="33"/>
      <c r="P787" s="29"/>
      <c r="Q787" s="29"/>
      <c r="R787" s="32"/>
      <c r="S787" s="29"/>
      <c r="T787" s="34"/>
      <c r="U787" s="29"/>
      <c r="V787" s="29"/>
      <c r="W787" s="28"/>
      <c r="X787" s="28"/>
      <c r="Y787" s="35"/>
      <c r="Z787" s="28"/>
      <c r="AA787" s="36"/>
      <c r="AB787" s="36"/>
    </row>
    <row r="788">
      <c r="A788" s="28"/>
      <c r="B788" s="29"/>
      <c r="C788" s="29"/>
      <c r="D788" s="30"/>
      <c r="E788" s="31"/>
      <c r="F788" s="29"/>
      <c r="G788" s="29"/>
      <c r="H788" s="29"/>
      <c r="I788" s="29"/>
      <c r="J788" s="29"/>
      <c r="K788" s="29"/>
      <c r="L788" s="32"/>
      <c r="M788" s="29"/>
      <c r="N788" s="29"/>
      <c r="O788" s="33"/>
      <c r="P788" s="29"/>
      <c r="Q788" s="29"/>
      <c r="R788" s="32"/>
      <c r="S788" s="29"/>
      <c r="T788" s="34"/>
      <c r="U788" s="29"/>
      <c r="V788" s="29"/>
      <c r="W788" s="28"/>
      <c r="X788" s="28"/>
      <c r="Y788" s="35"/>
      <c r="Z788" s="28"/>
      <c r="AA788" s="36"/>
      <c r="AB788" s="36"/>
    </row>
    <row r="789">
      <c r="A789" s="28"/>
      <c r="B789" s="29"/>
      <c r="C789" s="29"/>
      <c r="D789" s="30"/>
      <c r="E789" s="31"/>
      <c r="F789" s="29"/>
      <c r="G789" s="29"/>
      <c r="H789" s="29"/>
      <c r="I789" s="29"/>
      <c r="J789" s="29"/>
      <c r="K789" s="29"/>
      <c r="L789" s="32"/>
      <c r="M789" s="29"/>
      <c r="N789" s="29"/>
      <c r="O789" s="33"/>
      <c r="P789" s="29"/>
      <c r="Q789" s="29"/>
      <c r="R789" s="32"/>
      <c r="S789" s="29"/>
      <c r="T789" s="34"/>
      <c r="U789" s="29"/>
      <c r="V789" s="29"/>
      <c r="W789" s="28"/>
      <c r="X789" s="28"/>
      <c r="Y789" s="35"/>
      <c r="Z789" s="28"/>
      <c r="AA789" s="36"/>
      <c r="AB789" s="36"/>
    </row>
    <row r="790">
      <c r="A790" s="28"/>
      <c r="B790" s="29"/>
      <c r="C790" s="29"/>
      <c r="D790" s="30"/>
      <c r="E790" s="31"/>
      <c r="F790" s="29"/>
      <c r="G790" s="29"/>
      <c r="H790" s="29"/>
      <c r="I790" s="29"/>
      <c r="J790" s="29"/>
      <c r="K790" s="29"/>
      <c r="L790" s="32"/>
      <c r="M790" s="29"/>
      <c r="N790" s="29"/>
      <c r="O790" s="33"/>
      <c r="P790" s="29"/>
      <c r="Q790" s="29"/>
      <c r="R790" s="32"/>
      <c r="S790" s="29"/>
      <c r="T790" s="34"/>
      <c r="U790" s="29"/>
      <c r="V790" s="29"/>
      <c r="W790" s="28"/>
      <c r="X790" s="28"/>
      <c r="Y790" s="35"/>
      <c r="Z790" s="28"/>
      <c r="AA790" s="36"/>
      <c r="AB790" s="36"/>
    </row>
    <row r="791">
      <c r="A791" s="28"/>
      <c r="B791" s="29"/>
      <c r="C791" s="29"/>
      <c r="D791" s="30"/>
      <c r="E791" s="31"/>
      <c r="F791" s="29"/>
      <c r="G791" s="29"/>
      <c r="H791" s="29"/>
      <c r="I791" s="29"/>
      <c r="J791" s="29"/>
      <c r="K791" s="29"/>
      <c r="L791" s="32"/>
      <c r="M791" s="29"/>
      <c r="N791" s="29"/>
      <c r="O791" s="33"/>
      <c r="P791" s="29"/>
      <c r="Q791" s="29"/>
      <c r="R791" s="32"/>
      <c r="S791" s="29"/>
      <c r="T791" s="34"/>
      <c r="U791" s="29"/>
      <c r="V791" s="29"/>
      <c r="W791" s="28"/>
      <c r="X791" s="28"/>
      <c r="Y791" s="35"/>
      <c r="Z791" s="28"/>
      <c r="AA791" s="36"/>
      <c r="AB791" s="36"/>
    </row>
    <row r="792">
      <c r="A792" s="28"/>
      <c r="B792" s="29"/>
      <c r="C792" s="29"/>
      <c r="D792" s="30"/>
      <c r="E792" s="31"/>
      <c r="F792" s="29"/>
      <c r="G792" s="29"/>
      <c r="H792" s="29"/>
      <c r="I792" s="29"/>
      <c r="J792" s="29"/>
      <c r="K792" s="29"/>
      <c r="L792" s="32"/>
      <c r="M792" s="29"/>
      <c r="N792" s="29"/>
      <c r="O792" s="33"/>
      <c r="P792" s="29"/>
      <c r="Q792" s="29"/>
      <c r="R792" s="32"/>
      <c r="S792" s="29"/>
      <c r="T792" s="34"/>
      <c r="U792" s="29"/>
      <c r="V792" s="29"/>
      <c r="W792" s="28"/>
      <c r="X792" s="28"/>
      <c r="Y792" s="35"/>
      <c r="Z792" s="28"/>
      <c r="AA792" s="36"/>
      <c r="AB792" s="36"/>
    </row>
    <row r="793">
      <c r="A793" s="28"/>
      <c r="B793" s="29"/>
      <c r="C793" s="29"/>
      <c r="D793" s="30"/>
      <c r="E793" s="31"/>
      <c r="F793" s="29"/>
      <c r="G793" s="29"/>
      <c r="H793" s="29"/>
      <c r="I793" s="29"/>
      <c r="J793" s="29"/>
      <c r="K793" s="29"/>
      <c r="L793" s="32"/>
      <c r="M793" s="29"/>
      <c r="N793" s="29"/>
      <c r="O793" s="33"/>
      <c r="P793" s="29"/>
      <c r="Q793" s="29"/>
      <c r="R793" s="32"/>
      <c r="S793" s="29"/>
      <c r="T793" s="34"/>
      <c r="U793" s="29"/>
      <c r="V793" s="29"/>
      <c r="W793" s="28"/>
      <c r="X793" s="28"/>
      <c r="Y793" s="35"/>
      <c r="Z793" s="28"/>
      <c r="AA793" s="36"/>
      <c r="AB793" s="36"/>
    </row>
    <row r="794">
      <c r="A794" s="28"/>
      <c r="B794" s="29"/>
      <c r="C794" s="29"/>
      <c r="D794" s="30"/>
      <c r="E794" s="31"/>
      <c r="F794" s="29"/>
      <c r="G794" s="29"/>
      <c r="H794" s="29"/>
      <c r="I794" s="29"/>
      <c r="J794" s="29"/>
      <c r="K794" s="29"/>
      <c r="L794" s="32"/>
      <c r="M794" s="29"/>
      <c r="N794" s="29"/>
      <c r="O794" s="33"/>
      <c r="P794" s="29"/>
      <c r="Q794" s="29"/>
      <c r="R794" s="32"/>
      <c r="S794" s="29"/>
      <c r="T794" s="34"/>
      <c r="U794" s="29"/>
      <c r="V794" s="29"/>
      <c r="W794" s="28"/>
      <c r="X794" s="28"/>
      <c r="Y794" s="35"/>
      <c r="Z794" s="28"/>
      <c r="AA794" s="36"/>
      <c r="AB794" s="36"/>
    </row>
    <row r="795">
      <c r="A795" s="28"/>
      <c r="B795" s="29"/>
      <c r="C795" s="29"/>
      <c r="D795" s="30"/>
      <c r="E795" s="31"/>
      <c r="F795" s="29"/>
      <c r="G795" s="29"/>
      <c r="H795" s="29"/>
      <c r="I795" s="29"/>
      <c r="J795" s="29"/>
      <c r="K795" s="29"/>
      <c r="L795" s="32"/>
      <c r="M795" s="29"/>
      <c r="N795" s="29"/>
      <c r="O795" s="33"/>
      <c r="P795" s="29"/>
      <c r="Q795" s="29"/>
      <c r="R795" s="32"/>
      <c r="S795" s="29"/>
      <c r="T795" s="34"/>
      <c r="U795" s="29"/>
      <c r="V795" s="29"/>
      <c r="W795" s="28"/>
      <c r="X795" s="28"/>
      <c r="Y795" s="35"/>
      <c r="Z795" s="28"/>
      <c r="AA795" s="36"/>
      <c r="AB795" s="36"/>
    </row>
    <row r="796">
      <c r="A796" s="28"/>
      <c r="B796" s="29"/>
      <c r="C796" s="29"/>
      <c r="D796" s="30"/>
      <c r="E796" s="31"/>
      <c r="F796" s="29"/>
      <c r="G796" s="29"/>
      <c r="H796" s="29"/>
      <c r="I796" s="29"/>
      <c r="J796" s="29"/>
      <c r="K796" s="29"/>
      <c r="L796" s="32"/>
      <c r="M796" s="29"/>
      <c r="N796" s="29"/>
      <c r="O796" s="33"/>
      <c r="P796" s="29"/>
      <c r="Q796" s="29"/>
      <c r="R796" s="32"/>
      <c r="S796" s="29"/>
      <c r="T796" s="34"/>
      <c r="U796" s="29"/>
      <c r="V796" s="29"/>
      <c r="W796" s="28"/>
      <c r="X796" s="28"/>
      <c r="Y796" s="35"/>
      <c r="Z796" s="28"/>
      <c r="AA796" s="36"/>
      <c r="AB796" s="36"/>
    </row>
    <row r="797">
      <c r="A797" s="28"/>
      <c r="B797" s="29"/>
      <c r="C797" s="29"/>
      <c r="D797" s="30"/>
      <c r="E797" s="31"/>
      <c r="F797" s="29"/>
      <c r="G797" s="29"/>
      <c r="H797" s="29"/>
      <c r="I797" s="29"/>
      <c r="J797" s="29"/>
      <c r="K797" s="29"/>
      <c r="L797" s="32"/>
      <c r="M797" s="29"/>
      <c r="N797" s="29"/>
      <c r="O797" s="33"/>
      <c r="P797" s="29"/>
      <c r="Q797" s="29"/>
      <c r="R797" s="32"/>
      <c r="S797" s="29"/>
      <c r="T797" s="34"/>
      <c r="U797" s="29"/>
      <c r="V797" s="29"/>
      <c r="W797" s="28"/>
      <c r="X797" s="28"/>
      <c r="Y797" s="35"/>
      <c r="Z797" s="28"/>
      <c r="AA797" s="36"/>
      <c r="AB797" s="36"/>
    </row>
    <row r="798">
      <c r="A798" s="28"/>
      <c r="B798" s="29"/>
      <c r="C798" s="29"/>
      <c r="D798" s="30"/>
      <c r="E798" s="31"/>
      <c r="F798" s="29"/>
      <c r="G798" s="29"/>
      <c r="H798" s="29"/>
      <c r="I798" s="29"/>
      <c r="J798" s="29"/>
      <c r="K798" s="29"/>
      <c r="L798" s="32"/>
      <c r="M798" s="29"/>
      <c r="N798" s="29"/>
      <c r="O798" s="33"/>
      <c r="P798" s="29"/>
      <c r="Q798" s="29"/>
      <c r="R798" s="32"/>
      <c r="S798" s="29"/>
      <c r="T798" s="34"/>
      <c r="U798" s="29"/>
      <c r="V798" s="29"/>
      <c r="W798" s="28"/>
      <c r="X798" s="28"/>
      <c r="Y798" s="35"/>
      <c r="Z798" s="28"/>
      <c r="AA798" s="36"/>
      <c r="AB798" s="36"/>
    </row>
    <row r="799">
      <c r="A799" s="28"/>
      <c r="B799" s="29"/>
      <c r="C799" s="29"/>
      <c r="D799" s="30"/>
      <c r="E799" s="31"/>
      <c r="F799" s="29"/>
      <c r="G799" s="29"/>
      <c r="H799" s="29"/>
      <c r="I799" s="29"/>
      <c r="J799" s="29"/>
      <c r="K799" s="29"/>
      <c r="L799" s="32"/>
      <c r="M799" s="29"/>
      <c r="N799" s="29"/>
      <c r="O799" s="33"/>
      <c r="P799" s="29"/>
      <c r="Q799" s="29"/>
      <c r="R799" s="32"/>
      <c r="S799" s="29"/>
      <c r="T799" s="34"/>
      <c r="U799" s="29"/>
      <c r="V799" s="29"/>
      <c r="W799" s="28"/>
      <c r="X799" s="28"/>
      <c r="Y799" s="35"/>
      <c r="Z799" s="28"/>
      <c r="AA799" s="36"/>
      <c r="AB799" s="36"/>
    </row>
    <row r="800">
      <c r="A800" s="28"/>
      <c r="B800" s="29"/>
      <c r="C800" s="29"/>
      <c r="D800" s="30"/>
      <c r="E800" s="31"/>
      <c r="F800" s="29"/>
      <c r="G800" s="29"/>
      <c r="H800" s="29"/>
      <c r="I800" s="29"/>
      <c r="J800" s="29"/>
      <c r="K800" s="29"/>
      <c r="L800" s="32"/>
      <c r="M800" s="29"/>
      <c r="N800" s="29"/>
      <c r="O800" s="33"/>
      <c r="P800" s="29"/>
      <c r="Q800" s="29"/>
      <c r="R800" s="32"/>
      <c r="S800" s="29"/>
      <c r="T800" s="34"/>
      <c r="U800" s="29"/>
      <c r="V800" s="29"/>
      <c r="W800" s="28"/>
      <c r="X800" s="28"/>
      <c r="Y800" s="35"/>
      <c r="Z800" s="28"/>
      <c r="AA800" s="36"/>
      <c r="AB800" s="36"/>
    </row>
    <row r="801">
      <c r="A801" s="28"/>
      <c r="B801" s="29"/>
      <c r="C801" s="29"/>
      <c r="D801" s="30"/>
      <c r="E801" s="31"/>
      <c r="F801" s="29"/>
      <c r="G801" s="29"/>
      <c r="H801" s="29"/>
      <c r="I801" s="29"/>
      <c r="J801" s="29"/>
      <c r="K801" s="29"/>
      <c r="L801" s="32"/>
      <c r="M801" s="29"/>
      <c r="N801" s="29"/>
      <c r="O801" s="33"/>
      <c r="P801" s="29"/>
      <c r="Q801" s="29"/>
      <c r="R801" s="32"/>
      <c r="S801" s="29"/>
      <c r="T801" s="34"/>
      <c r="U801" s="29"/>
      <c r="V801" s="29"/>
      <c r="W801" s="28"/>
      <c r="X801" s="28"/>
      <c r="Y801" s="35"/>
      <c r="Z801" s="28"/>
      <c r="AA801" s="36"/>
      <c r="AB801" s="36"/>
    </row>
    <row r="802">
      <c r="A802" s="28"/>
      <c r="B802" s="29"/>
      <c r="C802" s="29"/>
      <c r="D802" s="30"/>
      <c r="E802" s="31"/>
      <c r="F802" s="29"/>
      <c r="G802" s="29"/>
      <c r="H802" s="29"/>
      <c r="I802" s="29"/>
      <c r="J802" s="29"/>
      <c r="K802" s="29"/>
      <c r="L802" s="32"/>
      <c r="M802" s="29"/>
      <c r="N802" s="29"/>
      <c r="O802" s="33"/>
      <c r="P802" s="29"/>
      <c r="Q802" s="29"/>
      <c r="R802" s="32"/>
      <c r="S802" s="29"/>
      <c r="T802" s="34"/>
      <c r="U802" s="29"/>
      <c r="V802" s="29"/>
      <c r="W802" s="28"/>
      <c r="X802" s="28"/>
      <c r="Y802" s="35"/>
      <c r="Z802" s="28"/>
      <c r="AA802" s="36"/>
      <c r="AB802" s="36"/>
    </row>
    <row r="803">
      <c r="A803" s="28"/>
      <c r="B803" s="29"/>
      <c r="C803" s="29"/>
      <c r="D803" s="30"/>
      <c r="E803" s="31"/>
      <c r="F803" s="29"/>
      <c r="G803" s="29"/>
      <c r="H803" s="29"/>
      <c r="I803" s="29"/>
      <c r="J803" s="29"/>
      <c r="K803" s="29"/>
      <c r="L803" s="32"/>
      <c r="M803" s="29"/>
      <c r="N803" s="29"/>
      <c r="O803" s="33"/>
      <c r="P803" s="29"/>
      <c r="Q803" s="29"/>
      <c r="R803" s="32"/>
      <c r="S803" s="29"/>
      <c r="T803" s="34"/>
      <c r="U803" s="29"/>
      <c r="V803" s="29"/>
      <c r="W803" s="28"/>
      <c r="X803" s="28"/>
      <c r="Y803" s="35"/>
      <c r="Z803" s="28"/>
      <c r="AA803" s="36"/>
      <c r="AB803" s="36"/>
    </row>
    <row r="804">
      <c r="A804" s="28"/>
      <c r="B804" s="29"/>
      <c r="C804" s="29"/>
      <c r="D804" s="30"/>
      <c r="E804" s="31"/>
      <c r="F804" s="29"/>
      <c r="G804" s="29"/>
      <c r="H804" s="29"/>
      <c r="I804" s="29"/>
      <c r="J804" s="29"/>
      <c r="K804" s="29"/>
      <c r="L804" s="32"/>
      <c r="M804" s="29"/>
      <c r="N804" s="29"/>
      <c r="O804" s="33"/>
      <c r="P804" s="29"/>
      <c r="Q804" s="29"/>
      <c r="R804" s="32"/>
      <c r="S804" s="29"/>
      <c r="T804" s="34"/>
      <c r="U804" s="29"/>
      <c r="V804" s="29"/>
      <c r="W804" s="28"/>
      <c r="X804" s="28"/>
      <c r="Y804" s="35"/>
      <c r="Z804" s="28"/>
      <c r="AA804" s="36"/>
      <c r="AB804" s="36"/>
    </row>
    <row r="805">
      <c r="A805" s="28"/>
      <c r="B805" s="29"/>
      <c r="C805" s="29"/>
      <c r="D805" s="30"/>
      <c r="E805" s="31"/>
      <c r="F805" s="29"/>
      <c r="G805" s="29"/>
      <c r="H805" s="29"/>
      <c r="I805" s="29"/>
      <c r="J805" s="29"/>
      <c r="K805" s="29"/>
      <c r="L805" s="32"/>
      <c r="M805" s="29"/>
      <c r="N805" s="29"/>
      <c r="O805" s="33"/>
      <c r="P805" s="29"/>
      <c r="Q805" s="29"/>
      <c r="R805" s="32"/>
      <c r="S805" s="29"/>
      <c r="T805" s="34"/>
      <c r="U805" s="29"/>
      <c r="V805" s="29"/>
      <c r="W805" s="28"/>
      <c r="X805" s="28"/>
      <c r="Y805" s="35"/>
      <c r="Z805" s="28"/>
      <c r="AA805" s="36"/>
      <c r="AB805" s="36"/>
    </row>
    <row r="806">
      <c r="A806" s="28"/>
      <c r="B806" s="29"/>
      <c r="C806" s="29"/>
      <c r="D806" s="30"/>
      <c r="E806" s="31"/>
      <c r="F806" s="29"/>
      <c r="G806" s="29"/>
      <c r="H806" s="29"/>
      <c r="I806" s="29"/>
      <c r="J806" s="29"/>
      <c r="K806" s="29"/>
      <c r="L806" s="32"/>
      <c r="M806" s="29"/>
      <c r="N806" s="29"/>
      <c r="O806" s="33"/>
      <c r="P806" s="29"/>
      <c r="Q806" s="29"/>
      <c r="R806" s="32"/>
      <c r="S806" s="29"/>
      <c r="T806" s="34"/>
      <c r="U806" s="29"/>
      <c r="V806" s="29"/>
      <c r="W806" s="28"/>
      <c r="X806" s="28"/>
      <c r="Y806" s="35"/>
      <c r="Z806" s="28"/>
      <c r="AA806" s="36"/>
      <c r="AB806" s="36"/>
    </row>
    <row r="807">
      <c r="A807" s="28"/>
      <c r="B807" s="29"/>
      <c r="C807" s="29"/>
      <c r="D807" s="30"/>
      <c r="E807" s="31"/>
      <c r="F807" s="29"/>
      <c r="G807" s="29"/>
      <c r="H807" s="29"/>
      <c r="I807" s="29"/>
      <c r="J807" s="29"/>
      <c r="K807" s="29"/>
      <c r="L807" s="32"/>
      <c r="M807" s="29"/>
      <c r="N807" s="29"/>
      <c r="O807" s="33"/>
      <c r="P807" s="29"/>
      <c r="Q807" s="29"/>
      <c r="R807" s="32"/>
      <c r="S807" s="29"/>
      <c r="T807" s="34"/>
      <c r="U807" s="29"/>
      <c r="V807" s="29"/>
      <c r="W807" s="28"/>
      <c r="X807" s="28"/>
      <c r="Y807" s="35"/>
      <c r="Z807" s="28"/>
      <c r="AA807" s="36"/>
      <c r="AB807" s="36"/>
    </row>
    <row r="808">
      <c r="A808" s="28"/>
      <c r="B808" s="29"/>
      <c r="C808" s="29"/>
      <c r="D808" s="30"/>
      <c r="E808" s="31"/>
      <c r="F808" s="29"/>
      <c r="G808" s="29"/>
      <c r="H808" s="29"/>
      <c r="I808" s="29"/>
      <c r="J808" s="29"/>
      <c r="K808" s="29"/>
      <c r="L808" s="32"/>
      <c r="M808" s="29"/>
      <c r="N808" s="29"/>
      <c r="O808" s="33"/>
      <c r="P808" s="29"/>
      <c r="Q808" s="29"/>
      <c r="R808" s="32"/>
      <c r="S808" s="29"/>
      <c r="T808" s="34"/>
      <c r="U808" s="29"/>
      <c r="V808" s="29"/>
      <c r="W808" s="28"/>
      <c r="X808" s="28"/>
      <c r="Y808" s="35"/>
      <c r="Z808" s="28"/>
      <c r="AA808" s="36"/>
      <c r="AB808" s="36"/>
    </row>
    <row r="809">
      <c r="A809" s="28"/>
      <c r="B809" s="29"/>
      <c r="C809" s="29"/>
      <c r="D809" s="30"/>
      <c r="E809" s="31"/>
      <c r="F809" s="29"/>
      <c r="G809" s="29"/>
      <c r="H809" s="29"/>
      <c r="I809" s="29"/>
      <c r="J809" s="29"/>
      <c r="K809" s="29"/>
      <c r="L809" s="32"/>
      <c r="M809" s="29"/>
      <c r="N809" s="29"/>
      <c r="O809" s="33"/>
      <c r="P809" s="29"/>
      <c r="Q809" s="29"/>
      <c r="R809" s="32"/>
      <c r="S809" s="29"/>
      <c r="T809" s="34"/>
      <c r="U809" s="29"/>
      <c r="V809" s="29"/>
      <c r="W809" s="28"/>
      <c r="X809" s="28"/>
      <c r="Y809" s="35"/>
      <c r="Z809" s="28"/>
      <c r="AA809" s="36"/>
      <c r="AB809" s="36"/>
    </row>
    <row r="810">
      <c r="A810" s="28"/>
      <c r="B810" s="29"/>
      <c r="C810" s="29"/>
      <c r="D810" s="30"/>
      <c r="E810" s="31"/>
      <c r="F810" s="29"/>
      <c r="G810" s="29"/>
      <c r="H810" s="29"/>
      <c r="I810" s="29"/>
      <c r="J810" s="29"/>
      <c r="K810" s="29"/>
      <c r="L810" s="32"/>
      <c r="M810" s="29"/>
      <c r="N810" s="29"/>
      <c r="O810" s="33"/>
      <c r="P810" s="29"/>
      <c r="Q810" s="29"/>
      <c r="R810" s="32"/>
      <c r="S810" s="29"/>
      <c r="T810" s="34"/>
      <c r="U810" s="29"/>
      <c r="V810" s="29"/>
      <c r="W810" s="28"/>
      <c r="X810" s="28"/>
      <c r="Y810" s="35"/>
      <c r="Z810" s="28"/>
      <c r="AA810" s="36"/>
      <c r="AB810" s="36"/>
    </row>
    <row r="811">
      <c r="A811" s="28"/>
      <c r="B811" s="29"/>
      <c r="C811" s="29"/>
      <c r="D811" s="30"/>
      <c r="E811" s="31"/>
      <c r="F811" s="29"/>
      <c r="G811" s="29"/>
      <c r="H811" s="29"/>
      <c r="I811" s="29"/>
      <c r="J811" s="29"/>
      <c r="K811" s="29"/>
      <c r="L811" s="32"/>
      <c r="M811" s="29"/>
      <c r="N811" s="29"/>
      <c r="O811" s="33"/>
      <c r="P811" s="29"/>
      <c r="Q811" s="29"/>
      <c r="R811" s="32"/>
      <c r="S811" s="29"/>
      <c r="T811" s="34"/>
      <c r="U811" s="29"/>
      <c r="V811" s="29"/>
      <c r="W811" s="28"/>
      <c r="X811" s="28"/>
      <c r="Y811" s="35"/>
      <c r="Z811" s="28"/>
      <c r="AA811" s="36"/>
      <c r="AB811" s="36"/>
    </row>
    <row r="812">
      <c r="A812" s="28"/>
      <c r="B812" s="29"/>
      <c r="C812" s="29"/>
      <c r="D812" s="30"/>
      <c r="E812" s="31"/>
      <c r="F812" s="29"/>
      <c r="G812" s="29"/>
      <c r="H812" s="29"/>
      <c r="I812" s="29"/>
      <c r="J812" s="29"/>
      <c r="K812" s="29"/>
      <c r="L812" s="32"/>
      <c r="M812" s="29"/>
      <c r="N812" s="29"/>
      <c r="O812" s="33"/>
      <c r="P812" s="29"/>
      <c r="Q812" s="29"/>
      <c r="R812" s="32"/>
      <c r="S812" s="29"/>
      <c r="T812" s="34"/>
      <c r="U812" s="29"/>
      <c r="V812" s="29"/>
      <c r="W812" s="28"/>
      <c r="X812" s="28"/>
      <c r="Y812" s="35"/>
      <c r="Z812" s="28"/>
      <c r="AA812" s="36"/>
      <c r="AB812" s="36"/>
    </row>
    <row r="813">
      <c r="A813" s="28"/>
      <c r="B813" s="29"/>
      <c r="C813" s="29"/>
      <c r="D813" s="30"/>
      <c r="E813" s="31"/>
      <c r="F813" s="29"/>
      <c r="G813" s="29"/>
      <c r="H813" s="29"/>
      <c r="I813" s="29"/>
      <c r="J813" s="29"/>
      <c r="K813" s="29"/>
      <c r="L813" s="32"/>
      <c r="M813" s="29"/>
      <c r="N813" s="29"/>
      <c r="O813" s="33"/>
      <c r="P813" s="29"/>
      <c r="Q813" s="29"/>
      <c r="R813" s="32"/>
      <c r="S813" s="29"/>
      <c r="T813" s="34"/>
      <c r="U813" s="29"/>
      <c r="V813" s="29"/>
      <c r="W813" s="28"/>
      <c r="X813" s="28"/>
      <c r="Y813" s="35"/>
      <c r="Z813" s="28"/>
      <c r="AA813" s="36"/>
      <c r="AB813" s="36"/>
    </row>
    <row r="814">
      <c r="A814" s="28"/>
      <c r="B814" s="29"/>
      <c r="C814" s="29"/>
      <c r="D814" s="30"/>
      <c r="E814" s="31"/>
      <c r="F814" s="29"/>
      <c r="G814" s="29"/>
      <c r="H814" s="29"/>
      <c r="I814" s="29"/>
      <c r="J814" s="29"/>
      <c r="K814" s="29"/>
      <c r="L814" s="32"/>
      <c r="M814" s="29"/>
      <c r="N814" s="29"/>
      <c r="O814" s="33"/>
      <c r="P814" s="29"/>
      <c r="Q814" s="29"/>
      <c r="R814" s="32"/>
      <c r="S814" s="29"/>
      <c r="T814" s="34"/>
      <c r="U814" s="29"/>
      <c r="V814" s="29"/>
      <c r="W814" s="28"/>
      <c r="X814" s="28"/>
      <c r="Y814" s="35"/>
      <c r="Z814" s="28"/>
      <c r="AA814" s="36"/>
      <c r="AB814" s="36"/>
    </row>
    <row r="815">
      <c r="A815" s="28"/>
      <c r="B815" s="29"/>
      <c r="C815" s="29"/>
      <c r="D815" s="30"/>
      <c r="E815" s="31"/>
      <c r="F815" s="29"/>
      <c r="G815" s="29"/>
      <c r="H815" s="29"/>
      <c r="I815" s="29"/>
      <c r="J815" s="29"/>
      <c r="K815" s="29"/>
      <c r="L815" s="32"/>
      <c r="M815" s="29"/>
      <c r="N815" s="29"/>
      <c r="O815" s="33"/>
      <c r="P815" s="29"/>
      <c r="Q815" s="29"/>
      <c r="R815" s="32"/>
      <c r="S815" s="29"/>
      <c r="T815" s="34"/>
      <c r="U815" s="29"/>
      <c r="V815" s="29"/>
      <c r="W815" s="28"/>
      <c r="X815" s="28"/>
      <c r="Y815" s="35"/>
      <c r="Z815" s="28"/>
      <c r="AA815" s="36"/>
      <c r="AB815" s="36"/>
    </row>
    <row r="816">
      <c r="A816" s="28"/>
      <c r="B816" s="29"/>
      <c r="C816" s="29"/>
      <c r="D816" s="30"/>
      <c r="E816" s="31"/>
      <c r="F816" s="29"/>
      <c r="G816" s="29"/>
      <c r="H816" s="29"/>
      <c r="I816" s="29"/>
      <c r="J816" s="29"/>
      <c r="K816" s="29"/>
      <c r="L816" s="32"/>
      <c r="M816" s="29"/>
      <c r="N816" s="29"/>
      <c r="O816" s="33"/>
      <c r="P816" s="29"/>
      <c r="Q816" s="29"/>
      <c r="R816" s="32"/>
      <c r="S816" s="29"/>
      <c r="T816" s="34"/>
      <c r="U816" s="29"/>
      <c r="V816" s="29"/>
      <c r="W816" s="28"/>
      <c r="X816" s="28"/>
      <c r="Y816" s="35"/>
      <c r="Z816" s="28"/>
      <c r="AA816" s="36"/>
      <c r="AB816" s="36"/>
    </row>
    <row r="817">
      <c r="A817" s="28"/>
      <c r="B817" s="29"/>
      <c r="C817" s="29"/>
      <c r="D817" s="30"/>
      <c r="E817" s="31"/>
      <c r="F817" s="29"/>
      <c r="G817" s="29"/>
      <c r="H817" s="29"/>
      <c r="I817" s="29"/>
      <c r="J817" s="29"/>
      <c r="K817" s="29"/>
      <c r="L817" s="32"/>
      <c r="M817" s="29"/>
      <c r="N817" s="29"/>
      <c r="O817" s="33"/>
      <c r="P817" s="29"/>
      <c r="Q817" s="29"/>
      <c r="R817" s="32"/>
      <c r="S817" s="29"/>
      <c r="T817" s="34"/>
      <c r="U817" s="29"/>
      <c r="V817" s="29"/>
      <c r="W817" s="28"/>
      <c r="X817" s="28"/>
      <c r="Y817" s="35"/>
      <c r="Z817" s="28"/>
      <c r="AA817" s="36"/>
      <c r="AB817" s="36"/>
    </row>
    <row r="818">
      <c r="A818" s="28"/>
      <c r="B818" s="29"/>
      <c r="C818" s="29"/>
      <c r="D818" s="30"/>
      <c r="E818" s="31"/>
      <c r="F818" s="29"/>
      <c r="G818" s="29"/>
      <c r="H818" s="29"/>
      <c r="I818" s="29"/>
      <c r="J818" s="29"/>
      <c r="K818" s="29"/>
      <c r="L818" s="32"/>
      <c r="M818" s="29"/>
      <c r="N818" s="29"/>
      <c r="O818" s="33"/>
      <c r="P818" s="29"/>
      <c r="Q818" s="29"/>
      <c r="R818" s="32"/>
      <c r="S818" s="29"/>
      <c r="T818" s="34"/>
      <c r="U818" s="29"/>
      <c r="V818" s="29"/>
      <c r="W818" s="28"/>
      <c r="X818" s="28"/>
      <c r="Y818" s="35"/>
      <c r="Z818" s="28"/>
      <c r="AA818" s="36"/>
      <c r="AB818" s="36"/>
    </row>
    <row r="819">
      <c r="A819" s="28"/>
      <c r="B819" s="29"/>
      <c r="C819" s="29"/>
      <c r="D819" s="30"/>
      <c r="E819" s="31"/>
      <c r="F819" s="29"/>
      <c r="G819" s="29"/>
      <c r="H819" s="29"/>
      <c r="I819" s="29"/>
      <c r="J819" s="29"/>
      <c r="K819" s="29"/>
      <c r="L819" s="32"/>
      <c r="M819" s="29"/>
      <c r="N819" s="29"/>
      <c r="O819" s="33"/>
      <c r="P819" s="29"/>
      <c r="Q819" s="29"/>
      <c r="R819" s="32"/>
      <c r="S819" s="29"/>
      <c r="T819" s="34"/>
      <c r="U819" s="29"/>
      <c r="V819" s="29"/>
      <c r="W819" s="28"/>
      <c r="X819" s="28"/>
      <c r="Y819" s="35"/>
      <c r="Z819" s="28"/>
      <c r="AA819" s="36"/>
      <c r="AB819" s="36"/>
    </row>
    <row r="820">
      <c r="A820" s="28"/>
      <c r="B820" s="29"/>
      <c r="C820" s="29"/>
      <c r="D820" s="30"/>
      <c r="E820" s="31"/>
      <c r="F820" s="29"/>
      <c r="G820" s="29"/>
      <c r="H820" s="29"/>
      <c r="I820" s="29"/>
      <c r="J820" s="29"/>
      <c r="K820" s="29"/>
      <c r="L820" s="32"/>
      <c r="M820" s="29"/>
      <c r="N820" s="29"/>
      <c r="O820" s="33"/>
      <c r="P820" s="29"/>
      <c r="Q820" s="29"/>
      <c r="R820" s="32"/>
      <c r="S820" s="29"/>
      <c r="T820" s="34"/>
      <c r="U820" s="29"/>
      <c r="V820" s="29"/>
      <c r="W820" s="28"/>
      <c r="X820" s="28"/>
      <c r="Y820" s="35"/>
      <c r="Z820" s="28"/>
      <c r="AA820" s="36"/>
      <c r="AB820" s="36"/>
    </row>
    <row r="821">
      <c r="A821" s="28"/>
      <c r="B821" s="29"/>
      <c r="C821" s="29"/>
      <c r="D821" s="30"/>
      <c r="E821" s="31"/>
      <c r="F821" s="29"/>
      <c r="G821" s="29"/>
      <c r="H821" s="29"/>
      <c r="I821" s="29"/>
      <c r="J821" s="29"/>
      <c r="K821" s="29"/>
      <c r="L821" s="32"/>
      <c r="M821" s="29"/>
      <c r="N821" s="29"/>
      <c r="O821" s="33"/>
      <c r="P821" s="29"/>
      <c r="Q821" s="29"/>
      <c r="R821" s="32"/>
      <c r="S821" s="29"/>
      <c r="T821" s="34"/>
      <c r="U821" s="29"/>
      <c r="V821" s="29"/>
      <c r="W821" s="28"/>
      <c r="X821" s="28"/>
      <c r="Y821" s="35"/>
      <c r="Z821" s="28"/>
      <c r="AA821" s="36"/>
      <c r="AB821" s="36"/>
    </row>
    <row r="822">
      <c r="A822" s="28"/>
      <c r="B822" s="29"/>
      <c r="C822" s="29"/>
      <c r="D822" s="30"/>
      <c r="E822" s="31"/>
      <c r="F822" s="29"/>
      <c r="G822" s="29"/>
      <c r="H822" s="29"/>
      <c r="I822" s="29"/>
      <c r="J822" s="29"/>
      <c r="K822" s="29"/>
      <c r="L822" s="32"/>
      <c r="M822" s="29"/>
      <c r="N822" s="29"/>
      <c r="O822" s="33"/>
      <c r="P822" s="29"/>
      <c r="Q822" s="29"/>
      <c r="R822" s="32"/>
      <c r="S822" s="29"/>
      <c r="T822" s="34"/>
      <c r="U822" s="29"/>
      <c r="V822" s="29"/>
      <c r="W822" s="28"/>
      <c r="X822" s="28"/>
      <c r="Y822" s="35"/>
      <c r="Z822" s="28"/>
      <c r="AA822" s="36"/>
      <c r="AB822" s="36"/>
    </row>
    <row r="823">
      <c r="A823" s="28"/>
      <c r="B823" s="29"/>
      <c r="C823" s="29"/>
      <c r="D823" s="30"/>
      <c r="E823" s="31"/>
      <c r="F823" s="29"/>
      <c r="G823" s="29"/>
      <c r="H823" s="29"/>
      <c r="I823" s="29"/>
      <c r="J823" s="29"/>
      <c r="K823" s="29"/>
      <c r="L823" s="32"/>
      <c r="M823" s="29"/>
      <c r="N823" s="29"/>
      <c r="O823" s="33"/>
      <c r="P823" s="29"/>
      <c r="Q823" s="29"/>
      <c r="R823" s="32"/>
      <c r="S823" s="29"/>
      <c r="T823" s="34"/>
      <c r="U823" s="29"/>
      <c r="V823" s="29"/>
      <c r="W823" s="28"/>
      <c r="X823" s="28"/>
      <c r="Y823" s="35"/>
      <c r="Z823" s="28"/>
      <c r="AA823" s="36"/>
      <c r="AB823" s="36"/>
    </row>
    <row r="824">
      <c r="A824" s="28"/>
      <c r="B824" s="29"/>
      <c r="C824" s="29"/>
      <c r="D824" s="30"/>
      <c r="E824" s="31"/>
      <c r="F824" s="29"/>
      <c r="G824" s="29"/>
      <c r="H824" s="29"/>
      <c r="I824" s="29"/>
      <c r="J824" s="29"/>
      <c r="K824" s="29"/>
      <c r="L824" s="32"/>
      <c r="M824" s="29"/>
      <c r="N824" s="29"/>
      <c r="O824" s="33"/>
      <c r="P824" s="29"/>
      <c r="Q824" s="29"/>
      <c r="R824" s="32"/>
      <c r="S824" s="29"/>
      <c r="T824" s="34"/>
      <c r="U824" s="29"/>
      <c r="V824" s="29"/>
      <c r="W824" s="28"/>
      <c r="X824" s="28"/>
      <c r="Y824" s="35"/>
      <c r="Z824" s="28"/>
      <c r="AA824" s="36"/>
      <c r="AB824" s="36"/>
    </row>
    <row r="825">
      <c r="A825" s="28"/>
      <c r="B825" s="29"/>
      <c r="C825" s="29"/>
      <c r="D825" s="30"/>
      <c r="E825" s="31"/>
      <c r="F825" s="29"/>
      <c r="G825" s="29"/>
      <c r="H825" s="29"/>
      <c r="I825" s="29"/>
      <c r="J825" s="29"/>
      <c r="K825" s="29"/>
      <c r="L825" s="32"/>
      <c r="M825" s="29"/>
      <c r="N825" s="29"/>
      <c r="O825" s="33"/>
      <c r="P825" s="29"/>
      <c r="Q825" s="29"/>
      <c r="R825" s="32"/>
      <c r="S825" s="29"/>
      <c r="T825" s="34"/>
      <c r="U825" s="29"/>
      <c r="V825" s="29"/>
      <c r="W825" s="28"/>
      <c r="X825" s="28"/>
      <c r="Y825" s="35"/>
      <c r="Z825" s="28"/>
      <c r="AA825" s="36"/>
      <c r="AB825" s="36"/>
    </row>
    <row r="826">
      <c r="A826" s="28"/>
      <c r="B826" s="29"/>
      <c r="C826" s="29"/>
      <c r="D826" s="30"/>
      <c r="E826" s="31"/>
      <c r="F826" s="29"/>
      <c r="G826" s="29"/>
      <c r="H826" s="29"/>
      <c r="I826" s="29"/>
      <c r="J826" s="29"/>
      <c r="K826" s="29"/>
      <c r="L826" s="32"/>
      <c r="M826" s="29"/>
      <c r="N826" s="29"/>
      <c r="O826" s="33"/>
      <c r="P826" s="29"/>
      <c r="Q826" s="29"/>
      <c r="R826" s="32"/>
      <c r="S826" s="29"/>
      <c r="T826" s="34"/>
      <c r="U826" s="29"/>
      <c r="V826" s="29"/>
      <c r="W826" s="28"/>
      <c r="X826" s="28"/>
      <c r="Y826" s="35"/>
      <c r="Z826" s="28"/>
      <c r="AA826" s="36"/>
      <c r="AB826" s="36"/>
    </row>
    <row r="827">
      <c r="A827" s="28"/>
      <c r="B827" s="29"/>
      <c r="C827" s="29"/>
      <c r="D827" s="30"/>
      <c r="E827" s="31"/>
      <c r="F827" s="29"/>
      <c r="G827" s="29"/>
      <c r="H827" s="29"/>
      <c r="I827" s="29"/>
      <c r="J827" s="29"/>
      <c r="K827" s="29"/>
      <c r="L827" s="32"/>
      <c r="M827" s="29"/>
      <c r="N827" s="29"/>
      <c r="O827" s="33"/>
      <c r="P827" s="29"/>
      <c r="Q827" s="29"/>
      <c r="R827" s="32"/>
      <c r="S827" s="29"/>
      <c r="T827" s="34"/>
      <c r="U827" s="29"/>
      <c r="V827" s="29"/>
      <c r="W827" s="28"/>
      <c r="X827" s="28"/>
      <c r="Y827" s="35"/>
      <c r="Z827" s="28"/>
      <c r="AA827" s="36"/>
      <c r="AB827" s="36"/>
    </row>
    <row r="828">
      <c r="A828" s="28"/>
      <c r="B828" s="29"/>
      <c r="C828" s="29"/>
      <c r="D828" s="30"/>
      <c r="E828" s="31"/>
      <c r="F828" s="29"/>
      <c r="G828" s="29"/>
      <c r="H828" s="29"/>
      <c r="I828" s="29"/>
      <c r="J828" s="29"/>
      <c r="K828" s="29"/>
      <c r="L828" s="32"/>
      <c r="M828" s="29"/>
      <c r="N828" s="29"/>
      <c r="O828" s="33"/>
      <c r="P828" s="29"/>
      <c r="Q828" s="29"/>
      <c r="R828" s="32"/>
      <c r="S828" s="29"/>
      <c r="T828" s="34"/>
      <c r="U828" s="29"/>
      <c r="V828" s="29"/>
      <c r="W828" s="28"/>
      <c r="X828" s="28"/>
      <c r="Y828" s="35"/>
      <c r="Z828" s="28"/>
      <c r="AA828" s="36"/>
      <c r="AB828" s="36"/>
    </row>
    <row r="829">
      <c r="A829" s="28"/>
      <c r="B829" s="29"/>
      <c r="C829" s="29"/>
      <c r="D829" s="30"/>
      <c r="E829" s="31"/>
      <c r="F829" s="29"/>
      <c r="G829" s="29"/>
      <c r="H829" s="29"/>
      <c r="I829" s="29"/>
      <c r="J829" s="29"/>
      <c r="K829" s="29"/>
      <c r="L829" s="32"/>
      <c r="M829" s="29"/>
      <c r="N829" s="29"/>
      <c r="O829" s="33"/>
      <c r="P829" s="29"/>
      <c r="Q829" s="29"/>
      <c r="R829" s="32"/>
      <c r="S829" s="29"/>
      <c r="T829" s="34"/>
      <c r="U829" s="29"/>
      <c r="V829" s="29"/>
      <c r="W829" s="28"/>
      <c r="X829" s="28"/>
      <c r="Y829" s="35"/>
      <c r="Z829" s="28"/>
      <c r="AA829" s="36"/>
      <c r="AB829" s="36"/>
    </row>
    <row r="830">
      <c r="A830" s="28"/>
      <c r="B830" s="29"/>
      <c r="C830" s="29"/>
      <c r="D830" s="30"/>
      <c r="E830" s="31"/>
      <c r="F830" s="29"/>
      <c r="G830" s="29"/>
      <c r="H830" s="29"/>
      <c r="I830" s="29"/>
      <c r="J830" s="29"/>
      <c r="K830" s="29"/>
      <c r="L830" s="32"/>
      <c r="M830" s="29"/>
      <c r="N830" s="29"/>
      <c r="O830" s="33"/>
      <c r="P830" s="29"/>
      <c r="Q830" s="29"/>
      <c r="R830" s="32"/>
      <c r="S830" s="29"/>
      <c r="T830" s="34"/>
      <c r="U830" s="29"/>
      <c r="V830" s="29"/>
      <c r="W830" s="28"/>
      <c r="X830" s="28"/>
      <c r="Y830" s="35"/>
      <c r="Z830" s="28"/>
      <c r="AA830" s="36"/>
      <c r="AB830" s="36"/>
    </row>
    <row r="831">
      <c r="A831" s="28"/>
      <c r="B831" s="29"/>
      <c r="C831" s="29"/>
      <c r="D831" s="30"/>
      <c r="E831" s="31"/>
      <c r="F831" s="29"/>
      <c r="G831" s="29"/>
      <c r="H831" s="29"/>
      <c r="I831" s="29"/>
      <c r="J831" s="29"/>
      <c r="K831" s="29"/>
      <c r="L831" s="32"/>
      <c r="M831" s="29"/>
      <c r="N831" s="29"/>
      <c r="O831" s="33"/>
      <c r="P831" s="29"/>
      <c r="Q831" s="29"/>
      <c r="R831" s="32"/>
      <c r="S831" s="29"/>
      <c r="T831" s="34"/>
      <c r="U831" s="29"/>
      <c r="V831" s="29"/>
      <c r="W831" s="28"/>
      <c r="X831" s="28"/>
      <c r="Y831" s="35"/>
      <c r="Z831" s="28"/>
      <c r="AA831" s="36"/>
      <c r="AB831" s="36"/>
    </row>
    <row r="832">
      <c r="A832" s="28"/>
      <c r="B832" s="29"/>
      <c r="C832" s="29"/>
      <c r="D832" s="30"/>
      <c r="E832" s="31"/>
      <c r="F832" s="29"/>
      <c r="G832" s="29"/>
      <c r="H832" s="29"/>
      <c r="I832" s="29"/>
      <c r="J832" s="29"/>
      <c r="K832" s="29"/>
      <c r="L832" s="32"/>
      <c r="M832" s="29"/>
      <c r="N832" s="29"/>
      <c r="O832" s="33"/>
      <c r="P832" s="29"/>
      <c r="Q832" s="29"/>
      <c r="R832" s="32"/>
      <c r="S832" s="29"/>
      <c r="T832" s="34"/>
      <c r="U832" s="29"/>
      <c r="V832" s="29"/>
      <c r="W832" s="28"/>
      <c r="X832" s="28"/>
      <c r="Y832" s="35"/>
      <c r="Z832" s="28"/>
      <c r="AA832" s="36"/>
      <c r="AB832" s="36"/>
    </row>
    <row r="833">
      <c r="A833" s="28"/>
      <c r="B833" s="29"/>
      <c r="C833" s="29"/>
      <c r="D833" s="30"/>
      <c r="E833" s="31"/>
      <c r="F833" s="29"/>
      <c r="G833" s="29"/>
      <c r="H833" s="29"/>
      <c r="I833" s="29"/>
      <c r="J833" s="29"/>
      <c r="K833" s="29"/>
      <c r="L833" s="32"/>
      <c r="M833" s="29"/>
      <c r="N833" s="29"/>
      <c r="O833" s="33"/>
      <c r="P833" s="29"/>
      <c r="Q833" s="29"/>
      <c r="R833" s="32"/>
      <c r="S833" s="29"/>
      <c r="T833" s="34"/>
      <c r="U833" s="29"/>
      <c r="V833" s="29"/>
      <c r="W833" s="28"/>
      <c r="X833" s="28"/>
      <c r="Y833" s="35"/>
      <c r="Z833" s="28"/>
      <c r="AA833" s="36"/>
      <c r="AB833" s="36"/>
    </row>
    <row r="834">
      <c r="A834" s="28"/>
      <c r="B834" s="29"/>
      <c r="C834" s="29"/>
      <c r="D834" s="30"/>
      <c r="E834" s="31"/>
      <c r="F834" s="29"/>
      <c r="G834" s="29"/>
      <c r="H834" s="29"/>
      <c r="I834" s="29"/>
      <c r="J834" s="29"/>
      <c r="K834" s="29"/>
      <c r="L834" s="32"/>
      <c r="M834" s="29"/>
      <c r="N834" s="29"/>
      <c r="O834" s="33"/>
      <c r="P834" s="29"/>
      <c r="Q834" s="29"/>
      <c r="R834" s="32"/>
      <c r="S834" s="29"/>
      <c r="T834" s="34"/>
      <c r="U834" s="29"/>
      <c r="V834" s="29"/>
      <c r="W834" s="28"/>
      <c r="X834" s="28"/>
      <c r="Y834" s="35"/>
      <c r="Z834" s="28"/>
      <c r="AA834" s="36"/>
      <c r="AB834" s="36"/>
    </row>
    <row r="835">
      <c r="A835" s="28"/>
      <c r="B835" s="29"/>
      <c r="C835" s="29"/>
      <c r="D835" s="30"/>
      <c r="E835" s="31"/>
      <c r="F835" s="29"/>
      <c r="G835" s="29"/>
      <c r="H835" s="29"/>
      <c r="I835" s="29"/>
      <c r="J835" s="29"/>
      <c r="K835" s="29"/>
      <c r="L835" s="32"/>
      <c r="M835" s="29"/>
      <c r="N835" s="29"/>
      <c r="O835" s="33"/>
      <c r="P835" s="29"/>
      <c r="Q835" s="29"/>
      <c r="R835" s="32"/>
      <c r="S835" s="29"/>
      <c r="T835" s="34"/>
      <c r="U835" s="29"/>
      <c r="V835" s="29"/>
      <c r="W835" s="28"/>
      <c r="X835" s="28"/>
      <c r="Y835" s="35"/>
      <c r="Z835" s="28"/>
      <c r="AA835" s="36"/>
      <c r="AB835" s="36"/>
    </row>
    <row r="836">
      <c r="A836" s="28"/>
      <c r="B836" s="29"/>
      <c r="C836" s="29"/>
      <c r="D836" s="30"/>
      <c r="E836" s="31"/>
      <c r="F836" s="29"/>
      <c r="G836" s="29"/>
      <c r="H836" s="29"/>
      <c r="I836" s="29"/>
      <c r="J836" s="29"/>
      <c r="K836" s="29"/>
      <c r="L836" s="32"/>
      <c r="M836" s="29"/>
      <c r="N836" s="29"/>
      <c r="O836" s="33"/>
      <c r="P836" s="29"/>
      <c r="Q836" s="29"/>
      <c r="R836" s="32"/>
      <c r="S836" s="29"/>
      <c r="T836" s="34"/>
      <c r="U836" s="29"/>
      <c r="V836" s="29"/>
      <c r="W836" s="28"/>
      <c r="X836" s="28"/>
      <c r="Y836" s="35"/>
      <c r="Z836" s="28"/>
      <c r="AA836" s="36"/>
      <c r="AB836" s="36"/>
    </row>
    <row r="837">
      <c r="A837" s="28"/>
      <c r="B837" s="29"/>
      <c r="C837" s="29"/>
      <c r="D837" s="30"/>
      <c r="E837" s="31"/>
      <c r="F837" s="29"/>
      <c r="G837" s="29"/>
      <c r="H837" s="29"/>
      <c r="I837" s="29"/>
      <c r="J837" s="29"/>
      <c r="K837" s="29"/>
      <c r="L837" s="32"/>
      <c r="M837" s="29"/>
      <c r="N837" s="29"/>
      <c r="O837" s="33"/>
      <c r="P837" s="29"/>
      <c r="Q837" s="29"/>
      <c r="R837" s="32"/>
      <c r="S837" s="29"/>
      <c r="T837" s="34"/>
      <c r="U837" s="29"/>
      <c r="V837" s="29"/>
      <c r="W837" s="28"/>
      <c r="X837" s="28"/>
      <c r="Y837" s="35"/>
      <c r="Z837" s="28"/>
      <c r="AA837" s="36"/>
      <c r="AB837" s="36"/>
    </row>
    <row r="838">
      <c r="A838" s="28"/>
      <c r="B838" s="29"/>
      <c r="C838" s="29"/>
      <c r="D838" s="30"/>
      <c r="E838" s="31"/>
      <c r="F838" s="29"/>
      <c r="G838" s="29"/>
      <c r="H838" s="29"/>
      <c r="I838" s="29"/>
      <c r="J838" s="29"/>
      <c r="K838" s="29"/>
      <c r="L838" s="32"/>
      <c r="M838" s="29"/>
      <c r="N838" s="29"/>
      <c r="O838" s="33"/>
      <c r="P838" s="29"/>
      <c r="Q838" s="29"/>
      <c r="R838" s="32"/>
      <c r="S838" s="29"/>
      <c r="T838" s="34"/>
      <c r="U838" s="29"/>
      <c r="V838" s="29"/>
      <c r="W838" s="28"/>
      <c r="X838" s="28"/>
      <c r="Y838" s="35"/>
      <c r="Z838" s="28"/>
      <c r="AA838" s="36"/>
      <c r="AB838" s="36"/>
    </row>
    <row r="839">
      <c r="A839" s="28"/>
      <c r="B839" s="29"/>
      <c r="C839" s="29"/>
      <c r="D839" s="30"/>
      <c r="E839" s="31"/>
      <c r="F839" s="29"/>
      <c r="G839" s="29"/>
      <c r="H839" s="29"/>
      <c r="I839" s="29"/>
      <c r="J839" s="29"/>
      <c r="K839" s="29"/>
      <c r="L839" s="32"/>
      <c r="M839" s="29"/>
      <c r="N839" s="29"/>
      <c r="O839" s="33"/>
      <c r="P839" s="29"/>
      <c r="Q839" s="29"/>
      <c r="R839" s="32"/>
      <c r="S839" s="29"/>
      <c r="T839" s="34"/>
      <c r="U839" s="29"/>
      <c r="V839" s="29"/>
      <c r="W839" s="28"/>
      <c r="X839" s="28"/>
      <c r="Y839" s="35"/>
      <c r="Z839" s="28"/>
      <c r="AA839" s="36"/>
      <c r="AB839" s="36"/>
    </row>
    <row r="840">
      <c r="A840" s="28"/>
      <c r="B840" s="29"/>
      <c r="C840" s="29"/>
      <c r="D840" s="30"/>
      <c r="E840" s="31"/>
      <c r="F840" s="29"/>
      <c r="G840" s="29"/>
      <c r="H840" s="29"/>
      <c r="I840" s="29"/>
      <c r="J840" s="29"/>
      <c r="K840" s="29"/>
      <c r="L840" s="32"/>
      <c r="M840" s="29"/>
      <c r="N840" s="29"/>
      <c r="O840" s="33"/>
      <c r="P840" s="29"/>
      <c r="Q840" s="29"/>
      <c r="R840" s="32"/>
      <c r="S840" s="29"/>
      <c r="T840" s="34"/>
      <c r="U840" s="29"/>
      <c r="V840" s="29"/>
      <c r="W840" s="28"/>
      <c r="X840" s="28"/>
      <c r="Y840" s="35"/>
      <c r="Z840" s="28"/>
      <c r="AA840" s="36"/>
      <c r="AB840" s="36"/>
    </row>
    <row r="841">
      <c r="A841" s="28"/>
      <c r="B841" s="29"/>
      <c r="C841" s="29"/>
      <c r="D841" s="30"/>
      <c r="E841" s="31"/>
      <c r="F841" s="29"/>
      <c r="G841" s="29"/>
      <c r="H841" s="29"/>
      <c r="I841" s="29"/>
      <c r="J841" s="29"/>
      <c r="K841" s="29"/>
      <c r="L841" s="32"/>
      <c r="M841" s="29"/>
      <c r="N841" s="29"/>
      <c r="O841" s="33"/>
      <c r="P841" s="29"/>
      <c r="Q841" s="29"/>
      <c r="R841" s="32"/>
      <c r="S841" s="29"/>
      <c r="T841" s="34"/>
      <c r="U841" s="29"/>
      <c r="V841" s="29"/>
      <c r="W841" s="28"/>
      <c r="X841" s="28"/>
      <c r="Y841" s="35"/>
      <c r="Z841" s="28"/>
      <c r="AA841" s="36"/>
      <c r="AB841" s="36"/>
    </row>
    <row r="842">
      <c r="A842" s="28"/>
      <c r="B842" s="29"/>
      <c r="C842" s="29"/>
      <c r="D842" s="30"/>
      <c r="E842" s="31"/>
      <c r="F842" s="29"/>
      <c r="G842" s="29"/>
      <c r="H842" s="29"/>
      <c r="I842" s="29"/>
      <c r="J842" s="29"/>
      <c r="K842" s="29"/>
      <c r="L842" s="32"/>
      <c r="M842" s="29"/>
      <c r="N842" s="29"/>
      <c r="O842" s="33"/>
      <c r="P842" s="29"/>
      <c r="Q842" s="29"/>
      <c r="R842" s="32"/>
      <c r="S842" s="29"/>
      <c r="T842" s="34"/>
      <c r="U842" s="29"/>
      <c r="V842" s="29"/>
      <c r="W842" s="28"/>
      <c r="X842" s="28"/>
      <c r="Y842" s="35"/>
      <c r="Z842" s="28"/>
      <c r="AA842" s="36"/>
      <c r="AB842" s="36"/>
    </row>
    <row r="843">
      <c r="A843" s="28"/>
      <c r="B843" s="29"/>
      <c r="C843" s="29"/>
      <c r="D843" s="30"/>
      <c r="E843" s="31"/>
      <c r="F843" s="29"/>
      <c r="G843" s="29"/>
      <c r="H843" s="29"/>
      <c r="I843" s="29"/>
      <c r="J843" s="29"/>
      <c r="K843" s="29"/>
      <c r="L843" s="32"/>
      <c r="M843" s="29"/>
      <c r="N843" s="29"/>
      <c r="O843" s="33"/>
      <c r="P843" s="29"/>
      <c r="Q843" s="29"/>
      <c r="R843" s="32"/>
      <c r="S843" s="29"/>
      <c r="T843" s="34"/>
      <c r="U843" s="29"/>
      <c r="V843" s="29"/>
      <c r="W843" s="28"/>
      <c r="X843" s="28"/>
      <c r="Y843" s="35"/>
      <c r="Z843" s="28"/>
      <c r="AA843" s="36"/>
      <c r="AB843" s="36"/>
    </row>
    <row r="844">
      <c r="A844" s="28"/>
      <c r="B844" s="29"/>
      <c r="C844" s="29"/>
      <c r="D844" s="30"/>
      <c r="E844" s="31"/>
      <c r="F844" s="29"/>
      <c r="G844" s="29"/>
      <c r="H844" s="29"/>
      <c r="I844" s="29"/>
      <c r="J844" s="29"/>
      <c r="K844" s="29"/>
      <c r="L844" s="32"/>
      <c r="M844" s="29"/>
      <c r="N844" s="29"/>
      <c r="O844" s="33"/>
      <c r="P844" s="29"/>
      <c r="Q844" s="29"/>
      <c r="R844" s="32"/>
      <c r="S844" s="29"/>
      <c r="T844" s="34"/>
      <c r="U844" s="29"/>
      <c r="V844" s="29"/>
      <c r="W844" s="28"/>
      <c r="X844" s="28"/>
      <c r="Y844" s="35"/>
      <c r="Z844" s="28"/>
      <c r="AA844" s="36"/>
      <c r="AB844" s="36"/>
    </row>
    <row r="845">
      <c r="A845" s="28"/>
      <c r="B845" s="29"/>
      <c r="C845" s="29"/>
      <c r="D845" s="30"/>
      <c r="E845" s="31"/>
      <c r="F845" s="29"/>
      <c r="G845" s="29"/>
      <c r="H845" s="29"/>
      <c r="I845" s="29"/>
      <c r="J845" s="29"/>
      <c r="K845" s="29"/>
      <c r="L845" s="32"/>
      <c r="M845" s="29"/>
      <c r="N845" s="29"/>
      <c r="O845" s="33"/>
      <c r="P845" s="29"/>
      <c r="Q845" s="29"/>
      <c r="R845" s="32"/>
      <c r="S845" s="29"/>
      <c r="T845" s="34"/>
      <c r="U845" s="29"/>
      <c r="V845" s="29"/>
      <c r="W845" s="28"/>
      <c r="X845" s="28"/>
      <c r="Y845" s="35"/>
      <c r="Z845" s="28"/>
      <c r="AA845" s="36"/>
      <c r="AB845" s="36"/>
    </row>
    <row r="846">
      <c r="A846" s="28"/>
      <c r="B846" s="29"/>
      <c r="C846" s="29"/>
      <c r="D846" s="30"/>
      <c r="E846" s="31"/>
      <c r="F846" s="29"/>
      <c r="G846" s="29"/>
      <c r="H846" s="29"/>
      <c r="I846" s="29"/>
      <c r="J846" s="29"/>
      <c r="K846" s="29"/>
      <c r="L846" s="32"/>
      <c r="M846" s="29"/>
      <c r="N846" s="29"/>
      <c r="O846" s="33"/>
      <c r="P846" s="29"/>
      <c r="Q846" s="29"/>
      <c r="R846" s="32"/>
      <c r="S846" s="29"/>
      <c r="T846" s="34"/>
      <c r="U846" s="29"/>
      <c r="V846" s="29"/>
      <c r="W846" s="28"/>
      <c r="X846" s="28"/>
      <c r="Y846" s="35"/>
      <c r="Z846" s="28"/>
      <c r="AA846" s="36"/>
      <c r="AB846" s="36"/>
    </row>
    <row r="847">
      <c r="A847" s="28"/>
      <c r="B847" s="29"/>
      <c r="C847" s="29"/>
      <c r="D847" s="30"/>
      <c r="E847" s="31"/>
      <c r="F847" s="29"/>
      <c r="G847" s="29"/>
      <c r="H847" s="29"/>
      <c r="I847" s="29"/>
      <c r="J847" s="29"/>
      <c r="K847" s="29"/>
      <c r="L847" s="32"/>
      <c r="M847" s="29"/>
      <c r="N847" s="29"/>
      <c r="O847" s="33"/>
      <c r="P847" s="29"/>
      <c r="Q847" s="29"/>
      <c r="R847" s="32"/>
      <c r="S847" s="29"/>
      <c r="T847" s="34"/>
      <c r="U847" s="29"/>
      <c r="V847" s="29"/>
      <c r="W847" s="28"/>
      <c r="X847" s="28"/>
      <c r="Y847" s="35"/>
      <c r="Z847" s="28"/>
      <c r="AA847" s="36"/>
      <c r="AB847" s="36"/>
    </row>
    <row r="848">
      <c r="A848" s="28"/>
      <c r="B848" s="29"/>
      <c r="C848" s="29"/>
      <c r="D848" s="30"/>
      <c r="E848" s="31"/>
      <c r="F848" s="29"/>
      <c r="G848" s="29"/>
      <c r="H848" s="29"/>
      <c r="I848" s="29"/>
      <c r="J848" s="29"/>
      <c r="K848" s="29"/>
      <c r="L848" s="32"/>
      <c r="M848" s="29"/>
      <c r="N848" s="29"/>
      <c r="O848" s="33"/>
      <c r="P848" s="29"/>
      <c r="Q848" s="29"/>
      <c r="R848" s="32"/>
      <c r="S848" s="29"/>
      <c r="T848" s="34"/>
      <c r="U848" s="29"/>
      <c r="V848" s="29"/>
      <c r="W848" s="28"/>
      <c r="X848" s="28"/>
      <c r="Y848" s="35"/>
      <c r="Z848" s="28"/>
      <c r="AA848" s="36"/>
      <c r="AB848" s="36"/>
    </row>
    <row r="849">
      <c r="A849" s="28"/>
      <c r="B849" s="29"/>
      <c r="C849" s="29"/>
      <c r="D849" s="30"/>
      <c r="E849" s="31"/>
      <c r="F849" s="29"/>
      <c r="G849" s="29"/>
      <c r="H849" s="29"/>
      <c r="I849" s="29"/>
      <c r="J849" s="29"/>
      <c r="K849" s="29"/>
      <c r="L849" s="32"/>
      <c r="M849" s="29"/>
      <c r="N849" s="29"/>
      <c r="O849" s="33"/>
      <c r="P849" s="29"/>
      <c r="Q849" s="29"/>
      <c r="R849" s="32"/>
      <c r="S849" s="29"/>
      <c r="T849" s="34"/>
      <c r="U849" s="29"/>
      <c r="V849" s="29"/>
      <c r="W849" s="28"/>
      <c r="X849" s="28"/>
      <c r="Y849" s="35"/>
      <c r="Z849" s="28"/>
      <c r="AA849" s="36"/>
      <c r="AB849" s="36"/>
    </row>
    <row r="850">
      <c r="A850" s="28"/>
      <c r="B850" s="29"/>
      <c r="C850" s="29"/>
      <c r="D850" s="30"/>
      <c r="E850" s="31"/>
      <c r="F850" s="29"/>
      <c r="G850" s="29"/>
      <c r="H850" s="29"/>
      <c r="I850" s="29"/>
      <c r="J850" s="29"/>
      <c r="K850" s="29"/>
      <c r="L850" s="32"/>
      <c r="M850" s="29"/>
      <c r="N850" s="29"/>
      <c r="O850" s="33"/>
      <c r="P850" s="29"/>
      <c r="Q850" s="29"/>
      <c r="R850" s="32"/>
      <c r="S850" s="29"/>
      <c r="T850" s="34"/>
      <c r="U850" s="29"/>
      <c r="V850" s="29"/>
      <c r="W850" s="28"/>
      <c r="X850" s="28"/>
      <c r="Y850" s="35"/>
      <c r="Z850" s="28"/>
      <c r="AA850" s="36"/>
      <c r="AB850" s="36"/>
    </row>
    <row r="851">
      <c r="A851" s="28"/>
      <c r="B851" s="29"/>
      <c r="C851" s="29"/>
      <c r="D851" s="30"/>
      <c r="E851" s="31"/>
      <c r="F851" s="29"/>
      <c r="G851" s="29"/>
      <c r="H851" s="29"/>
      <c r="I851" s="29"/>
      <c r="J851" s="29"/>
      <c r="K851" s="29"/>
      <c r="L851" s="32"/>
      <c r="M851" s="29"/>
      <c r="N851" s="29"/>
      <c r="O851" s="33"/>
      <c r="P851" s="29"/>
      <c r="Q851" s="29"/>
      <c r="R851" s="32"/>
      <c r="S851" s="29"/>
      <c r="T851" s="34"/>
      <c r="U851" s="29"/>
      <c r="V851" s="29"/>
      <c r="W851" s="28"/>
      <c r="X851" s="28"/>
      <c r="Y851" s="35"/>
      <c r="Z851" s="28"/>
      <c r="AA851" s="36"/>
      <c r="AB851" s="36"/>
    </row>
    <row r="852">
      <c r="A852" s="28"/>
      <c r="B852" s="29"/>
      <c r="C852" s="29"/>
      <c r="D852" s="30"/>
      <c r="E852" s="31"/>
      <c r="F852" s="29"/>
      <c r="G852" s="29"/>
      <c r="H852" s="29"/>
      <c r="I852" s="29"/>
      <c r="J852" s="29"/>
      <c r="K852" s="29"/>
      <c r="L852" s="32"/>
      <c r="M852" s="29"/>
      <c r="N852" s="29"/>
      <c r="O852" s="33"/>
      <c r="P852" s="29"/>
      <c r="Q852" s="29"/>
      <c r="R852" s="32"/>
      <c r="S852" s="29"/>
      <c r="T852" s="34"/>
      <c r="U852" s="29"/>
      <c r="V852" s="29"/>
      <c r="W852" s="28"/>
      <c r="X852" s="28"/>
      <c r="Y852" s="35"/>
      <c r="Z852" s="28"/>
      <c r="AA852" s="36"/>
      <c r="AB852" s="36"/>
    </row>
    <row r="853">
      <c r="A853" s="28"/>
      <c r="B853" s="29"/>
      <c r="C853" s="29"/>
      <c r="D853" s="30"/>
      <c r="E853" s="31"/>
      <c r="F853" s="29"/>
      <c r="G853" s="29"/>
      <c r="H853" s="29"/>
      <c r="I853" s="29"/>
      <c r="J853" s="29"/>
      <c r="K853" s="29"/>
      <c r="L853" s="32"/>
      <c r="M853" s="29"/>
      <c r="N853" s="29"/>
      <c r="O853" s="33"/>
      <c r="P853" s="29"/>
      <c r="Q853" s="29"/>
      <c r="R853" s="32"/>
      <c r="S853" s="29"/>
      <c r="T853" s="34"/>
      <c r="U853" s="29"/>
      <c r="V853" s="29"/>
      <c r="W853" s="28"/>
      <c r="X853" s="28"/>
      <c r="Y853" s="35"/>
      <c r="Z853" s="28"/>
      <c r="AA853" s="36"/>
      <c r="AB853" s="36"/>
    </row>
    <row r="854">
      <c r="A854" s="28"/>
      <c r="B854" s="29"/>
      <c r="C854" s="29"/>
      <c r="D854" s="30"/>
      <c r="E854" s="31"/>
      <c r="F854" s="29"/>
      <c r="G854" s="29"/>
      <c r="H854" s="29"/>
      <c r="I854" s="29"/>
      <c r="J854" s="29"/>
      <c r="K854" s="29"/>
      <c r="L854" s="32"/>
      <c r="M854" s="29"/>
      <c r="N854" s="29"/>
      <c r="O854" s="33"/>
      <c r="P854" s="29"/>
      <c r="Q854" s="29"/>
      <c r="R854" s="32"/>
      <c r="S854" s="29"/>
      <c r="T854" s="34"/>
      <c r="U854" s="29"/>
      <c r="V854" s="29"/>
      <c r="W854" s="28"/>
      <c r="X854" s="28"/>
      <c r="Y854" s="35"/>
      <c r="Z854" s="28"/>
      <c r="AA854" s="36"/>
      <c r="AB854" s="36"/>
    </row>
    <row r="855">
      <c r="A855" s="28"/>
      <c r="B855" s="29"/>
      <c r="C855" s="29"/>
      <c r="D855" s="30"/>
      <c r="E855" s="31"/>
      <c r="F855" s="29"/>
      <c r="G855" s="29"/>
      <c r="H855" s="29"/>
      <c r="I855" s="29"/>
      <c r="J855" s="29"/>
      <c r="K855" s="29"/>
      <c r="L855" s="32"/>
      <c r="M855" s="29"/>
      <c r="N855" s="29"/>
      <c r="O855" s="33"/>
      <c r="P855" s="29"/>
      <c r="Q855" s="29"/>
      <c r="R855" s="32"/>
      <c r="S855" s="29"/>
      <c r="T855" s="34"/>
      <c r="U855" s="29"/>
      <c r="V855" s="29"/>
      <c r="W855" s="28"/>
      <c r="X855" s="28"/>
      <c r="Y855" s="35"/>
      <c r="Z855" s="28"/>
      <c r="AA855" s="36"/>
      <c r="AB855" s="36"/>
    </row>
    <row r="856">
      <c r="A856" s="28"/>
      <c r="B856" s="29"/>
      <c r="C856" s="29"/>
      <c r="D856" s="30"/>
      <c r="E856" s="31"/>
      <c r="F856" s="29"/>
      <c r="G856" s="29"/>
      <c r="H856" s="29"/>
      <c r="I856" s="29"/>
      <c r="J856" s="29"/>
      <c r="K856" s="29"/>
      <c r="L856" s="32"/>
      <c r="M856" s="29"/>
      <c r="N856" s="29"/>
      <c r="O856" s="33"/>
      <c r="P856" s="29"/>
      <c r="Q856" s="29"/>
      <c r="R856" s="32"/>
      <c r="S856" s="29"/>
      <c r="T856" s="34"/>
      <c r="U856" s="29"/>
      <c r="V856" s="29"/>
      <c r="W856" s="28"/>
      <c r="X856" s="28"/>
      <c r="Y856" s="35"/>
      <c r="Z856" s="28"/>
      <c r="AA856" s="36"/>
      <c r="AB856" s="36"/>
    </row>
    <row r="857">
      <c r="A857" s="28"/>
      <c r="B857" s="29"/>
      <c r="C857" s="29"/>
      <c r="D857" s="30"/>
      <c r="E857" s="31"/>
      <c r="F857" s="29"/>
      <c r="G857" s="29"/>
      <c r="H857" s="29"/>
      <c r="I857" s="29"/>
      <c r="J857" s="29"/>
      <c r="K857" s="29"/>
      <c r="L857" s="32"/>
      <c r="M857" s="29"/>
      <c r="N857" s="29"/>
      <c r="O857" s="33"/>
      <c r="P857" s="29"/>
      <c r="Q857" s="29"/>
      <c r="R857" s="32"/>
      <c r="S857" s="29"/>
      <c r="T857" s="34"/>
      <c r="U857" s="29"/>
      <c r="V857" s="29"/>
      <c r="W857" s="28"/>
      <c r="X857" s="28"/>
      <c r="Y857" s="35"/>
      <c r="Z857" s="28"/>
      <c r="AA857" s="36"/>
      <c r="AB857" s="36"/>
    </row>
    <row r="858">
      <c r="A858" s="28"/>
      <c r="B858" s="29"/>
      <c r="C858" s="29"/>
      <c r="D858" s="30"/>
      <c r="E858" s="31"/>
      <c r="F858" s="29"/>
      <c r="G858" s="29"/>
      <c r="H858" s="29"/>
      <c r="I858" s="29"/>
      <c r="J858" s="29"/>
      <c r="K858" s="29"/>
      <c r="L858" s="32"/>
      <c r="M858" s="29"/>
      <c r="N858" s="29"/>
      <c r="O858" s="33"/>
      <c r="P858" s="29"/>
      <c r="Q858" s="29"/>
      <c r="R858" s="32"/>
      <c r="S858" s="29"/>
      <c r="T858" s="34"/>
      <c r="U858" s="29"/>
      <c r="V858" s="29"/>
      <c r="W858" s="28"/>
      <c r="X858" s="28"/>
      <c r="Y858" s="35"/>
      <c r="Z858" s="28"/>
      <c r="AA858" s="36"/>
      <c r="AB858" s="36"/>
    </row>
    <row r="859">
      <c r="A859" s="28"/>
      <c r="B859" s="29"/>
      <c r="C859" s="29"/>
      <c r="D859" s="30"/>
      <c r="E859" s="31"/>
      <c r="F859" s="29"/>
      <c r="G859" s="29"/>
      <c r="H859" s="29"/>
      <c r="I859" s="29"/>
      <c r="J859" s="29"/>
      <c r="K859" s="29"/>
      <c r="L859" s="32"/>
      <c r="M859" s="29"/>
      <c r="N859" s="29"/>
      <c r="O859" s="33"/>
      <c r="P859" s="29"/>
      <c r="Q859" s="29"/>
      <c r="R859" s="32"/>
      <c r="S859" s="29"/>
      <c r="T859" s="34"/>
      <c r="U859" s="29"/>
      <c r="V859" s="29"/>
      <c r="W859" s="28"/>
      <c r="X859" s="28"/>
      <c r="Y859" s="35"/>
      <c r="Z859" s="28"/>
      <c r="AA859" s="36"/>
      <c r="AB859" s="36"/>
    </row>
    <row r="860">
      <c r="A860" s="28"/>
      <c r="B860" s="29"/>
      <c r="C860" s="29"/>
      <c r="D860" s="30"/>
      <c r="E860" s="31"/>
      <c r="F860" s="29"/>
      <c r="G860" s="29"/>
      <c r="H860" s="29"/>
      <c r="I860" s="29"/>
      <c r="J860" s="29"/>
      <c r="K860" s="29"/>
      <c r="L860" s="32"/>
      <c r="M860" s="29"/>
      <c r="N860" s="29"/>
      <c r="O860" s="33"/>
      <c r="P860" s="29"/>
      <c r="Q860" s="29"/>
      <c r="R860" s="32"/>
      <c r="S860" s="29"/>
      <c r="T860" s="34"/>
      <c r="U860" s="29"/>
      <c r="V860" s="29"/>
      <c r="W860" s="28"/>
      <c r="X860" s="28"/>
      <c r="Y860" s="35"/>
      <c r="Z860" s="28"/>
      <c r="AA860" s="36"/>
      <c r="AB860" s="36"/>
    </row>
    <row r="861">
      <c r="A861" s="28"/>
      <c r="B861" s="29"/>
      <c r="C861" s="29"/>
      <c r="D861" s="30"/>
      <c r="E861" s="31"/>
      <c r="F861" s="29"/>
      <c r="G861" s="29"/>
      <c r="H861" s="29"/>
      <c r="I861" s="29"/>
      <c r="J861" s="29"/>
      <c r="K861" s="29"/>
      <c r="L861" s="32"/>
      <c r="M861" s="29"/>
      <c r="N861" s="29"/>
      <c r="O861" s="33"/>
      <c r="P861" s="29"/>
      <c r="Q861" s="29"/>
      <c r="R861" s="32"/>
      <c r="S861" s="29"/>
      <c r="T861" s="34"/>
      <c r="U861" s="29"/>
      <c r="V861" s="29"/>
      <c r="W861" s="28"/>
      <c r="X861" s="28"/>
      <c r="Y861" s="35"/>
      <c r="Z861" s="28"/>
      <c r="AA861" s="36"/>
      <c r="AB861" s="36"/>
    </row>
    <row r="862">
      <c r="A862" s="28"/>
      <c r="B862" s="29"/>
      <c r="C862" s="29"/>
      <c r="D862" s="30"/>
      <c r="E862" s="31"/>
      <c r="F862" s="29"/>
      <c r="G862" s="29"/>
      <c r="H862" s="29"/>
      <c r="I862" s="29"/>
      <c r="J862" s="29"/>
      <c r="K862" s="29"/>
      <c r="L862" s="32"/>
      <c r="M862" s="29"/>
      <c r="N862" s="29"/>
      <c r="O862" s="33"/>
      <c r="P862" s="29"/>
      <c r="Q862" s="29"/>
      <c r="R862" s="32"/>
      <c r="S862" s="29"/>
      <c r="T862" s="34"/>
      <c r="U862" s="29"/>
      <c r="V862" s="29"/>
      <c r="W862" s="28"/>
      <c r="X862" s="28"/>
      <c r="Y862" s="35"/>
      <c r="Z862" s="28"/>
      <c r="AA862" s="36"/>
      <c r="AB862" s="36"/>
    </row>
    <row r="863">
      <c r="A863" s="28"/>
      <c r="B863" s="29"/>
      <c r="C863" s="29"/>
      <c r="D863" s="30"/>
      <c r="E863" s="31"/>
      <c r="F863" s="29"/>
      <c r="G863" s="29"/>
      <c r="H863" s="29"/>
      <c r="I863" s="29"/>
      <c r="J863" s="29"/>
      <c r="K863" s="29"/>
      <c r="L863" s="32"/>
      <c r="M863" s="29"/>
      <c r="N863" s="29"/>
      <c r="O863" s="33"/>
      <c r="P863" s="29"/>
      <c r="Q863" s="29"/>
      <c r="R863" s="32"/>
      <c r="S863" s="29"/>
      <c r="T863" s="34"/>
      <c r="U863" s="29"/>
      <c r="V863" s="29"/>
      <c r="W863" s="28"/>
      <c r="X863" s="28"/>
      <c r="Y863" s="35"/>
      <c r="Z863" s="28"/>
      <c r="AA863" s="36"/>
      <c r="AB863" s="36"/>
    </row>
    <row r="864">
      <c r="A864" s="28"/>
      <c r="B864" s="29"/>
      <c r="C864" s="29"/>
      <c r="D864" s="30"/>
      <c r="E864" s="31"/>
      <c r="F864" s="29"/>
      <c r="G864" s="29"/>
      <c r="H864" s="29"/>
      <c r="I864" s="29"/>
      <c r="J864" s="29"/>
      <c r="K864" s="29"/>
      <c r="L864" s="32"/>
      <c r="M864" s="29"/>
      <c r="N864" s="29"/>
      <c r="O864" s="33"/>
      <c r="P864" s="29"/>
      <c r="Q864" s="29"/>
      <c r="R864" s="32"/>
      <c r="S864" s="29"/>
      <c r="T864" s="34"/>
      <c r="U864" s="29"/>
      <c r="V864" s="29"/>
      <c r="W864" s="28"/>
      <c r="X864" s="28"/>
      <c r="Y864" s="35"/>
      <c r="Z864" s="28"/>
      <c r="AA864" s="36"/>
      <c r="AB864" s="36"/>
    </row>
    <row r="865">
      <c r="A865" s="28"/>
      <c r="B865" s="29"/>
      <c r="C865" s="29"/>
      <c r="D865" s="30"/>
      <c r="E865" s="31"/>
      <c r="F865" s="29"/>
      <c r="G865" s="29"/>
      <c r="H865" s="29"/>
      <c r="I865" s="29"/>
      <c r="J865" s="29"/>
      <c r="K865" s="29"/>
      <c r="L865" s="32"/>
      <c r="M865" s="29"/>
      <c r="N865" s="29"/>
      <c r="O865" s="33"/>
      <c r="P865" s="29"/>
      <c r="Q865" s="29"/>
      <c r="R865" s="32"/>
      <c r="S865" s="29"/>
      <c r="T865" s="34"/>
      <c r="U865" s="29"/>
      <c r="V865" s="29"/>
      <c r="W865" s="28"/>
      <c r="X865" s="28"/>
      <c r="Y865" s="35"/>
      <c r="Z865" s="28"/>
      <c r="AA865" s="36"/>
      <c r="AB865" s="36"/>
    </row>
    <row r="866">
      <c r="A866" s="28"/>
      <c r="B866" s="29"/>
      <c r="C866" s="29"/>
      <c r="D866" s="30"/>
      <c r="E866" s="31"/>
      <c r="F866" s="29"/>
      <c r="G866" s="29"/>
      <c r="H866" s="29"/>
      <c r="I866" s="29"/>
      <c r="J866" s="29"/>
      <c r="K866" s="29"/>
      <c r="L866" s="32"/>
      <c r="M866" s="29"/>
      <c r="N866" s="29"/>
      <c r="O866" s="33"/>
      <c r="P866" s="29"/>
      <c r="Q866" s="29"/>
      <c r="R866" s="32"/>
      <c r="S866" s="29"/>
      <c r="T866" s="34"/>
      <c r="U866" s="29"/>
      <c r="V866" s="29"/>
      <c r="W866" s="28"/>
      <c r="X866" s="28"/>
      <c r="Y866" s="35"/>
      <c r="Z866" s="28"/>
      <c r="AA866" s="36"/>
      <c r="AB866" s="36"/>
    </row>
    <row r="867">
      <c r="A867" s="28"/>
      <c r="B867" s="29"/>
      <c r="C867" s="29"/>
      <c r="D867" s="30"/>
      <c r="E867" s="31"/>
      <c r="F867" s="29"/>
      <c r="G867" s="29"/>
      <c r="H867" s="29"/>
      <c r="I867" s="29"/>
      <c r="J867" s="29"/>
      <c r="K867" s="29"/>
      <c r="L867" s="32"/>
      <c r="M867" s="29"/>
      <c r="N867" s="29"/>
      <c r="O867" s="33"/>
      <c r="P867" s="29"/>
      <c r="Q867" s="29"/>
      <c r="R867" s="32"/>
      <c r="S867" s="29"/>
      <c r="T867" s="34"/>
      <c r="U867" s="29"/>
      <c r="V867" s="29"/>
      <c r="W867" s="28"/>
      <c r="X867" s="28"/>
      <c r="Y867" s="35"/>
      <c r="Z867" s="28"/>
      <c r="AA867" s="36"/>
      <c r="AB867" s="36"/>
    </row>
    <row r="868">
      <c r="A868" s="28"/>
      <c r="B868" s="29"/>
      <c r="C868" s="29"/>
      <c r="D868" s="30"/>
      <c r="E868" s="31"/>
      <c r="F868" s="29"/>
      <c r="G868" s="29"/>
      <c r="H868" s="29"/>
      <c r="I868" s="29"/>
      <c r="J868" s="29"/>
      <c r="K868" s="29"/>
      <c r="L868" s="32"/>
      <c r="M868" s="29"/>
      <c r="N868" s="29"/>
      <c r="O868" s="33"/>
      <c r="P868" s="29"/>
      <c r="Q868" s="29"/>
      <c r="R868" s="32"/>
      <c r="S868" s="29"/>
      <c r="T868" s="34"/>
      <c r="U868" s="29"/>
      <c r="V868" s="29"/>
      <c r="W868" s="28"/>
      <c r="X868" s="28"/>
      <c r="Y868" s="35"/>
      <c r="Z868" s="28"/>
      <c r="AA868" s="36"/>
      <c r="AB868" s="36"/>
    </row>
    <row r="869">
      <c r="A869" s="28"/>
      <c r="B869" s="29"/>
      <c r="C869" s="29"/>
      <c r="D869" s="30"/>
      <c r="E869" s="31"/>
      <c r="F869" s="29"/>
      <c r="G869" s="29"/>
      <c r="H869" s="29"/>
      <c r="I869" s="29"/>
      <c r="J869" s="29"/>
      <c r="K869" s="29"/>
      <c r="L869" s="32"/>
      <c r="M869" s="29"/>
      <c r="N869" s="29"/>
      <c r="O869" s="33"/>
      <c r="P869" s="29"/>
      <c r="Q869" s="29"/>
      <c r="R869" s="32"/>
      <c r="S869" s="29"/>
      <c r="T869" s="34"/>
      <c r="U869" s="29"/>
      <c r="V869" s="29"/>
      <c r="W869" s="28"/>
      <c r="X869" s="28"/>
      <c r="Y869" s="35"/>
      <c r="Z869" s="28"/>
      <c r="AA869" s="36"/>
      <c r="AB869" s="36"/>
    </row>
    <row r="870">
      <c r="A870" s="28"/>
      <c r="B870" s="29"/>
      <c r="C870" s="29"/>
      <c r="D870" s="30"/>
      <c r="E870" s="31"/>
      <c r="F870" s="29"/>
      <c r="G870" s="29"/>
      <c r="H870" s="29"/>
      <c r="I870" s="29"/>
      <c r="J870" s="29"/>
      <c r="K870" s="29"/>
      <c r="L870" s="32"/>
      <c r="M870" s="29"/>
      <c r="N870" s="29"/>
      <c r="O870" s="33"/>
      <c r="P870" s="29"/>
      <c r="Q870" s="29"/>
      <c r="R870" s="32"/>
      <c r="S870" s="29"/>
      <c r="T870" s="34"/>
      <c r="U870" s="29"/>
      <c r="V870" s="29"/>
      <c r="W870" s="28"/>
      <c r="X870" s="28"/>
      <c r="Y870" s="35"/>
      <c r="Z870" s="28"/>
      <c r="AA870" s="36"/>
      <c r="AB870" s="36"/>
    </row>
    <row r="871">
      <c r="A871" s="28"/>
      <c r="B871" s="29"/>
      <c r="C871" s="29"/>
      <c r="D871" s="30"/>
      <c r="E871" s="31"/>
      <c r="F871" s="29"/>
      <c r="G871" s="29"/>
      <c r="H871" s="29"/>
      <c r="I871" s="29"/>
      <c r="J871" s="29"/>
      <c r="K871" s="29"/>
      <c r="L871" s="32"/>
      <c r="M871" s="29"/>
      <c r="N871" s="29"/>
      <c r="O871" s="33"/>
      <c r="P871" s="29"/>
      <c r="Q871" s="29"/>
      <c r="R871" s="32"/>
      <c r="S871" s="29"/>
      <c r="T871" s="34"/>
      <c r="U871" s="29"/>
      <c r="V871" s="29"/>
      <c r="W871" s="28"/>
      <c r="X871" s="28"/>
      <c r="Y871" s="35"/>
      <c r="Z871" s="28"/>
      <c r="AA871" s="36"/>
      <c r="AB871" s="36"/>
    </row>
    <row r="872">
      <c r="A872" s="28"/>
      <c r="B872" s="29"/>
      <c r="C872" s="29"/>
      <c r="D872" s="30"/>
      <c r="E872" s="31"/>
      <c r="F872" s="29"/>
      <c r="G872" s="29"/>
      <c r="H872" s="29"/>
      <c r="I872" s="29"/>
      <c r="J872" s="29"/>
      <c r="K872" s="29"/>
      <c r="L872" s="32"/>
      <c r="M872" s="29"/>
      <c r="N872" s="29"/>
      <c r="O872" s="33"/>
      <c r="P872" s="29"/>
      <c r="Q872" s="29"/>
      <c r="R872" s="32"/>
      <c r="S872" s="29"/>
      <c r="T872" s="34"/>
      <c r="U872" s="29"/>
      <c r="V872" s="29"/>
      <c r="W872" s="28"/>
      <c r="X872" s="28"/>
      <c r="Y872" s="35"/>
      <c r="Z872" s="28"/>
      <c r="AA872" s="36"/>
      <c r="AB872" s="36"/>
    </row>
    <row r="873">
      <c r="A873" s="28"/>
      <c r="B873" s="29"/>
      <c r="C873" s="29"/>
      <c r="D873" s="30"/>
      <c r="E873" s="31"/>
      <c r="F873" s="29"/>
      <c r="G873" s="29"/>
      <c r="H873" s="29"/>
      <c r="I873" s="29"/>
      <c r="J873" s="29"/>
      <c r="K873" s="29"/>
      <c r="L873" s="32"/>
      <c r="M873" s="29"/>
      <c r="N873" s="29"/>
      <c r="O873" s="33"/>
      <c r="P873" s="29"/>
      <c r="Q873" s="29"/>
      <c r="R873" s="32"/>
      <c r="S873" s="29"/>
      <c r="T873" s="34"/>
      <c r="U873" s="29"/>
      <c r="V873" s="29"/>
      <c r="W873" s="28"/>
      <c r="X873" s="28"/>
      <c r="Y873" s="35"/>
      <c r="Z873" s="28"/>
      <c r="AA873" s="36"/>
      <c r="AB873" s="36"/>
    </row>
    <row r="874">
      <c r="A874" s="28"/>
      <c r="B874" s="29"/>
      <c r="C874" s="29"/>
      <c r="D874" s="30"/>
      <c r="E874" s="31"/>
      <c r="F874" s="29"/>
      <c r="G874" s="29"/>
      <c r="H874" s="29"/>
      <c r="I874" s="29"/>
      <c r="J874" s="29"/>
      <c r="K874" s="29"/>
      <c r="L874" s="32"/>
      <c r="M874" s="29"/>
      <c r="N874" s="29"/>
      <c r="O874" s="33"/>
      <c r="P874" s="29"/>
      <c r="Q874" s="29"/>
      <c r="R874" s="32"/>
      <c r="S874" s="29"/>
      <c r="T874" s="34"/>
      <c r="U874" s="29"/>
      <c r="V874" s="29"/>
      <c r="W874" s="28"/>
      <c r="X874" s="28"/>
      <c r="Y874" s="35"/>
      <c r="Z874" s="28"/>
      <c r="AA874" s="36"/>
      <c r="AB874" s="36"/>
    </row>
    <row r="875">
      <c r="A875" s="28"/>
      <c r="B875" s="29"/>
      <c r="C875" s="29"/>
      <c r="D875" s="30"/>
      <c r="E875" s="31"/>
      <c r="F875" s="29"/>
      <c r="G875" s="29"/>
      <c r="H875" s="29"/>
      <c r="I875" s="29"/>
      <c r="J875" s="29"/>
      <c r="K875" s="29"/>
      <c r="L875" s="32"/>
      <c r="M875" s="29"/>
      <c r="N875" s="29"/>
      <c r="O875" s="33"/>
      <c r="P875" s="29"/>
      <c r="Q875" s="29"/>
      <c r="R875" s="32"/>
      <c r="S875" s="29"/>
      <c r="T875" s="34"/>
      <c r="U875" s="29"/>
      <c r="V875" s="29"/>
      <c r="W875" s="28"/>
      <c r="X875" s="28"/>
      <c r="Y875" s="35"/>
      <c r="Z875" s="28"/>
      <c r="AA875" s="36"/>
      <c r="AB875" s="36"/>
    </row>
    <row r="876">
      <c r="A876" s="28"/>
      <c r="B876" s="29"/>
      <c r="C876" s="29"/>
      <c r="D876" s="30"/>
      <c r="E876" s="31"/>
      <c r="F876" s="29"/>
      <c r="G876" s="29"/>
      <c r="H876" s="29"/>
      <c r="I876" s="29"/>
      <c r="J876" s="29"/>
      <c r="K876" s="29"/>
      <c r="L876" s="32"/>
      <c r="M876" s="29"/>
      <c r="N876" s="29"/>
      <c r="O876" s="33"/>
      <c r="P876" s="29"/>
      <c r="Q876" s="29"/>
      <c r="R876" s="32"/>
      <c r="S876" s="29"/>
      <c r="T876" s="34"/>
      <c r="U876" s="29"/>
      <c r="V876" s="29"/>
      <c r="W876" s="28"/>
      <c r="X876" s="28"/>
      <c r="Y876" s="35"/>
      <c r="Z876" s="28"/>
      <c r="AA876" s="36"/>
      <c r="AB876" s="36"/>
    </row>
    <row r="877">
      <c r="A877" s="28"/>
      <c r="B877" s="29"/>
      <c r="C877" s="29"/>
      <c r="D877" s="30"/>
      <c r="E877" s="31"/>
      <c r="F877" s="29"/>
      <c r="G877" s="29"/>
      <c r="H877" s="29"/>
      <c r="I877" s="29"/>
      <c r="J877" s="29"/>
      <c r="K877" s="29"/>
      <c r="L877" s="32"/>
      <c r="M877" s="29"/>
      <c r="N877" s="29"/>
      <c r="O877" s="33"/>
      <c r="P877" s="29"/>
      <c r="Q877" s="29"/>
      <c r="R877" s="32"/>
      <c r="S877" s="29"/>
      <c r="T877" s="34"/>
      <c r="U877" s="29"/>
      <c r="V877" s="29"/>
      <c r="W877" s="28"/>
      <c r="X877" s="28"/>
      <c r="Y877" s="35"/>
      <c r="Z877" s="28"/>
      <c r="AA877" s="36"/>
      <c r="AB877" s="36"/>
    </row>
    <row r="878">
      <c r="A878" s="28"/>
      <c r="B878" s="29"/>
      <c r="C878" s="29"/>
      <c r="D878" s="30"/>
      <c r="E878" s="31"/>
      <c r="F878" s="29"/>
      <c r="G878" s="29"/>
      <c r="H878" s="29"/>
      <c r="I878" s="29"/>
      <c r="J878" s="29"/>
      <c r="K878" s="29"/>
      <c r="L878" s="32"/>
      <c r="M878" s="29"/>
      <c r="N878" s="29"/>
      <c r="O878" s="33"/>
      <c r="P878" s="29"/>
      <c r="Q878" s="29"/>
      <c r="R878" s="32"/>
      <c r="S878" s="29"/>
      <c r="T878" s="34"/>
      <c r="U878" s="29"/>
      <c r="V878" s="29"/>
      <c r="W878" s="28"/>
      <c r="X878" s="28"/>
      <c r="Y878" s="35"/>
      <c r="Z878" s="28"/>
      <c r="AA878" s="36"/>
      <c r="AB878" s="36"/>
    </row>
    <row r="879">
      <c r="A879" s="28"/>
      <c r="B879" s="29"/>
      <c r="C879" s="29"/>
      <c r="D879" s="30"/>
      <c r="E879" s="31"/>
      <c r="F879" s="29"/>
      <c r="G879" s="29"/>
      <c r="H879" s="29"/>
      <c r="I879" s="29"/>
      <c r="J879" s="29"/>
      <c r="K879" s="29"/>
      <c r="L879" s="32"/>
      <c r="M879" s="29"/>
      <c r="N879" s="29"/>
      <c r="O879" s="33"/>
      <c r="P879" s="29"/>
      <c r="Q879" s="29"/>
      <c r="R879" s="32"/>
      <c r="S879" s="29"/>
      <c r="T879" s="34"/>
      <c r="U879" s="29"/>
      <c r="V879" s="29"/>
      <c r="W879" s="28"/>
      <c r="X879" s="28"/>
      <c r="Y879" s="35"/>
      <c r="Z879" s="28"/>
      <c r="AA879" s="36"/>
      <c r="AB879" s="36"/>
    </row>
    <row r="880">
      <c r="A880" s="28"/>
      <c r="B880" s="29"/>
      <c r="C880" s="29"/>
      <c r="D880" s="30"/>
      <c r="E880" s="31"/>
      <c r="F880" s="29"/>
      <c r="G880" s="29"/>
      <c r="H880" s="29"/>
      <c r="I880" s="29"/>
      <c r="J880" s="29"/>
      <c r="K880" s="29"/>
      <c r="L880" s="32"/>
      <c r="M880" s="29"/>
      <c r="N880" s="29"/>
      <c r="O880" s="33"/>
      <c r="P880" s="29"/>
      <c r="Q880" s="29"/>
      <c r="R880" s="32"/>
      <c r="S880" s="29"/>
      <c r="T880" s="34"/>
      <c r="U880" s="29"/>
      <c r="V880" s="29"/>
      <c r="W880" s="28"/>
      <c r="X880" s="28"/>
      <c r="Y880" s="35"/>
      <c r="Z880" s="28"/>
      <c r="AA880" s="36"/>
      <c r="AB880" s="36"/>
    </row>
    <row r="881">
      <c r="A881" s="28"/>
      <c r="B881" s="29"/>
      <c r="C881" s="29"/>
      <c r="D881" s="30"/>
      <c r="E881" s="31"/>
      <c r="F881" s="29"/>
      <c r="G881" s="29"/>
      <c r="H881" s="29"/>
      <c r="I881" s="29"/>
      <c r="J881" s="29"/>
      <c r="K881" s="29"/>
      <c r="L881" s="32"/>
      <c r="M881" s="29"/>
      <c r="N881" s="29"/>
      <c r="O881" s="33"/>
      <c r="P881" s="29"/>
      <c r="Q881" s="29"/>
      <c r="R881" s="32"/>
      <c r="S881" s="29"/>
      <c r="T881" s="34"/>
      <c r="U881" s="29"/>
      <c r="V881" s="29"/>
      <c r="W881" s="28"/>
      <c r="X881" s="28"/>
      <c r="Y881" s="35"/>
      <c r="Z881" s="28"/>
      <c r="AA881" s="36"/>
      <c r="AB881" s="36"/>
    </row>
    <row r="882">
      <c r="A882" s="28"/>
      <c r="B882" s="29"/>
      <c r="C882" s="29"/>
      <c r="D882" s="30"/>
      <c r="E882" s="31"/>
      <c r="F882" s="29"/>
      <c r="G882" s="29"/>
      <c r="H882" s="29"/>
      <c r="I882" s="29"/>
      <c r="J882" s="29"/>
      <c r="K882" s="29"/>
      <c r="L882" s="32"/>
      <c r="M882" s="29"/>
      <c r="N882" s="29"/>
      <c r="O882" s="33"/>
      <c r="P882" s="29"/>
      <c r="Q882" s="29"/>
      <c r="R882" s="32"/>
      <c r="S882" s="29"/>
      <c r="T882" s="34"/>
      <c r="U882" s="29"/>
      <c r="V882" s="29"/>
      <c r="W882" s="28"/>
      <c r="X882" s="28"/>
      <c r="Y882" s="35"/>
      <c r="Z882" s="28"/>
      <c r="AA882" s="36"/>
      <c r="AB882" s="36"/>
    </row>
    <row r="883">
      <c r="A883" s="28"/>
      <c r="B883" s="29"/>
      <c r="C883" s="29"/>
      <c r="D883" s="30"/>
      <c r="E883" s="31"/>
      <c r="F883" s="29"/>
      <c r="G883" s="29"/>
      <c r="H883" s="29"/>
      <c r="I883" s="29"/>
      <c r="J883" s="29"/>
      <c r="K883" s="29"/>
      <c r="L883" s="32"/>
      <c r="M883" s="29"/>
      <c r="N883" s="29"/>
      <c r="O883" s="33"/>
      <c r="P883" s="29"/>
      <c r="Q883" s="29"/>
      <c r="R883" s="32"/>
      <c r="S883" s="29"/>
      <c r="T883" s="34"/>
      <c r="U883" s="29"/>
      <c r="V883" s="29"/>
      <c r="W883" s="28"/>
      <c r="X883" s="28"/>
      <c r="Y883" s="35"/>
      <c r="Z883" s="28"/>
      <c r="AA883" s="36"/>
      <c r="AB883" s="36"/>
    </row>
    <row r="884">
      <c r="A884" s="28"/>
      <c r="B884" s="29"/>
      <c r="C884" s="29"/>
      <c r="D884" s="30"/>
      <c r="E884" s="31"/>
      <c r="F884" s="29"/>
      <c r="G884" s="29"/>
      <c r="H884" s="29"/>
      <c r="I884" s="29"/>
      <c r="J884" s="29"/>
      <c r="K884" s="29"/>
      <c r="L884" s="32"/>
      <c r="M884" s="29"/>
      <c r="N884" s="29"/>
      <c r="O884" s="33"/>
      <c r="P884" s="29"/>
      <c r="Q884" s="29"/>
      <c r="R884" s="32"/>
      <c r="S884" s="29"/>
      <c r="T884" s="34"/>
      <c r="U884" s="29"/>
      <c r="V884" s="29"/>
      <c r="W884" s="28"/>
      <c r="X884" s="28"/>
      <c r="Y884" s="35"/>
      <c r="Z884" s="28"/>
      <c r="AA884" s="36"/>
      <c r="AB884" s="36"/>
    </row>
    <row r="885">
      <c r="A885" s="28"/>
      <c r="B885" s="29"/>
      <c r="C885" s="29"/>
      <c r="D885" s="30"/>
      <c r="E885" s="31"/>
      <c r="F885" s="29"/>
      <c r="G885" s="29"/>
      <c r="H885" s="29"/>
      <c r="I885" s="29"/>
      <c r="J885" s="29"/>
      <c r="K885" s="29"/>
      <c r="L885" s="32"/>
      <c r="M885" s="29"/>
      <c r="N885" s="29"/>
      <c r="O885" s="33"/>
      <c r="P885" s="29"/>
      <c r="Q885" s="29"/>
      <c r="R885" s="32"/>
      <c r="S885" s="29"/>
      <c r="T885" s="34"/>
      <c r="U885" s="29"/>
      <c r="V885" s="29"/>
      <c r="W885" s="28"/>
      <c r="X885" s="28"/>
      <c r="Y885" s="35"/>
      <c r="Z885" s="28"/>
      <c r="AA885" s="36"/>
      <c r="AB885" s="36"/>
    </row>
    <row r="886">
      <c r="A886" s="28"/>
      <c r="B886" s="29"/>
      <c r="C886" s="29"/>
      <c r="D886" s="30"/>
      <c r="E886" s="31"/>
      <c r="F886" s="29"/>
      <c r="G886" s="29"/>
      <c r="H886" s="29"/>
      <c r="I886" s="29"/>
      <c r="J886" s="29"/>
      <c r="K886" s="29"/>
      <c r="L886" s="32"/>
      <c r="M886" s="29"/>
      <c r="N886" s="29"/>
      <c r="O886" s="33"/>
      <c r="P886" s="29"/>
      <c r="Q886" s="29"/>
      <c r="R886" s="32"/>
      <c r="S886" s="29"/>
      <c r="T886" s="34"/>
      <c r="U886" s="29"/>
      <c r="V886" s="29"/>
      <c r="W886" s="28"/>
      <c r="X886" s="28"/>
      <c r="Y886" s="35"/>
      <c r="Z886" s="28"/>
      <c r="AA886" s="36"/>
      <c r="AB886" s="36"/>
    </row>
    <row r="887">
      <c r="A887" s="28"/>
      <c r="B887" s="29"/>
      <c r="C887" s="29"/>
      <c r="D887" s="30"/>
      <c r="E887" s="31"/>
      <c r="F887" s="29"/>
      <c r="G887" s="29"/>
      <c r="H887" s="29"/>
      <c r="I887" s="29"/>
      <c r="J887" s="29"/>
      <c r="K887" s="29"/>
      <c r="L887" s="32"/>
      <c r="M887" s="29"/>
      <c r="N887" s="29"/>
      <c r="O887" s="33"/>
      <c r="P887" s="29"/>
      <c r="Q887" s="29"/>
      <c r="R887" s="32"/>
      <c r="S887" s="29"/>
      <c r="T887" s="34"/>
      <c r="U887" s="29"/>
      <c r="V887" s="29"/>
      <c r="W887" s="28"/>
      <c r="X887" s="28"/>
      <c r="Y887" s="35"/>
      <c r="Z887" s="28"/>
      <c r="AA887" s="36"/>
      <c r="AB887" s="36"/>
    </row>
    <row r="888">
      <c r="A888" s="28"/>
      <c r="B888" s="29"/>
      <c r="C888" s="29"/>
      <c r="D888" s="30"/>
      <c r="E888" s="31"/>
      <c r="F888" s="29"/>
      <c r="G888" s="29"/>
      <c r="H888" s="29"/>
      <c r="I888" s="29"/>
      <c r="J888" s="29"/>
      <c r="K888" s="29"/>
      <c r="L888" s="32"/>
      <c r="M888" s="29"/>
      <c r="N888" s="29"/>
      <c r="O888" s="33"/>
      <c r="P888" s="29"/>
      <c r="Q888" s="29"/>
      <c r="R888" s="32"/>
      <c r="S888" s="29"/>
      <c r="T888" s="34"/>
      <c r="U888" s="29"/>
      <c r="V888" s="29"/>
      <c r="W888" s="28"/>
      <c r="X888" s="28"/>
      <c r="Y888" s="35"/>
      <c r="Z888" s="28"/>
      <c r="AA888" s="36"/>
      <c r="AB888" s="36"/>
    </row>
    <row r="889">
      <c r="A889" s="28"/>
      <c r="B889" s="29"/>
      <c r="C889" s="29"/>
      <c r="D889" s="30"/>
      <c r="E889" s="31"/>
      <c r="F889" s="29"/>
      <c r="G889" s="29"/>
      <c r="H889" s="29"/>
      <c r="I889" s="29"/>
      <c r="J889" s="29"/>
      <c r="K889" s="29"/>
      <c r="L889" s="32"/>
      <c r="M889" s="29"/>
      <c r="N889" s="29"/>
      <c r="O889" s="33"/>
      <c r="P889" s="29"/>
      <c r="Q889" s="29"/>
      <c r="R889" s="32"/>
      <c r="S889" s="29"/>
      <c r="T889" s="34"/>
      <c r="U889" s="29"/>
      <c r="V889" s="29"/>
      <c r="W889" s="28"/>
      <c r="X889" s="28"/>
      <c r="Y889" s="35"/>
      <c r="Z889" s="28"/>
      <c r="AA889" s="36"/>
      <c r="AB889" s="36"/>
    </row>
    <row r="890">
      <c r="A890" s="28"/>
      <c r="B890" s="29"/>
      <c r="C890" s="29"/>
      <c r="D890" s="30"/>
      <c r="E890" s="31"/>
      <c r="F890" s="29"/>
      <c r="G890" s="29"/>
      <c r="H890" s="29"/>
      <c r="I890" s="29"/>
      <c r="J890" s="29"/>
      <c r="K890" s="29"/>
      <c r="L890" s="32"/>
      <c r="M890" s="29"/>
      <c r="N890" s="29"/>
      <c r="O890" s="33"/>
      <c r="P890" s="29"/>
      <c r="Q890" s="29"/>
      <c r="R890" s="32"/>
      <c r="S890" s="29"/>
      <c r="T890" s="34"/>
      <c r="U890" s="29"/>
      <c r="V890" s="29"/>
      <c r="W890" s="28"/>
      <c r="X890" s="28"/>
      <c r="Y890" s="35"/>
      <c r="Z890" s="28"/>
      <c r="AA890" s="36"/>
      <c r="AB890" s="36"/>
    </row>
    <row r="891">
      <c r="A891" s="28"/>
      <c r="B891" s="29"/>
      <c r="C891" s="29"/>
      <c r="D891" s="30"/>
      <c r="E891" s="31"/>
      <c r="F891" s="29"/>
      <c r="G891" s="29"/>
      <c r="H891" s="29"/>
      <c r="I891" s="29"/>
      <c r="J891" s="29"/>
      <c r="K891" s="29"/>
      <c r="L891" s="32"/>
      <c r="M891" s="29"/>
      <c r="N891" s="29"/>
      <c r="O891" s="33"/>
      <c r="P891" s="29"/>
      <c r="Q891" s="29"/>
      <c r="R891" s="32"/>
      <c r="S891" s="29"/>
      <c r="T891" s="34"/>
      <c r="U891" s="29"/>
      <c r="V891" s="29"/>
      <c r="W891" s="28"/>
      <c r="X891" s="28"/>
      <c r="Y891" s="35"/>
      <c r="Z891" s="28"/>
      <c r="AA891" s="36"/>
      <c r="AB891" s="36"/>
    </row>
    <row r="892">
      <c r="A892" s="28"/>
      <c r="B892" s="29"/>
      <c r="C892" s="29"/>
      <c r="D892" s="30"/>
      <c r="E892" s="31"/>
      <c r="F892" s="29"/>
      <c r="G892" s="29"/>
      <c r="H892" s="29"/>
      <c r="I892" s="29"/>
      <c r="J892" s="29"/>
      <c r="K892" s="29"/>
      <c r="L892" s="32"/>
      <c r="M892" s="29"/>
      <c r="N892" s="29"/>
      <c r="O892" s="33"/>
      <c r="P892" s="29"/>
      <c r="Q892" s="29"/>
      <c r="R892" s="32"/>
      <c r="S892" s="29"/>
      <c r="T892" s="34"/>
      <c r="U892" s="29"/>
      <c r="V892" s="29"/>
      <c r="W892" s="28"/>
      <c r="X892" s="28"/>
      <c r="Y892" s="35"/>
      <c r="Z892" s="28"/>
      <c r="AA892" s="36"/>
      <c r="AB892" s="36"/>
    </row>
    <row r="893">
      <c r="A893" s="28"/>
      <c r="B893" s="29"/>
      <c r="C893" s="29"/>
      <c r="D893" s="30"/>
      <c r="E893" s="31"/>
      <c r="F893" s="29"/>
      <c r="G893" s="29"/>
      <c r="H893" s="29"/>
      <c r="I893" s="29"/>
      <c r="J893" s="29"/>
      <c r="K893" s="29"/>
      <c r="L893" s="32"/>
      <c r="M893" s="29"/>
      <c r="N893" s="29"/>
      <c r="O893" s="33"/>
      <c r="P893" s="29"/>
      <c r="Q893" s="29"/>
      <c r="R893" s="32"/>
      <c r="S893" s="29"/>
      <c r="T893" s="34"/>
      <c r="U893" s="29"/>
      <c r="V893" s="29"/>
      <c r="W893" s="28"/>
      <c r="X893" s="28"/>
      <c r="Y893" s="35"/>
      <c r="Z893" s="28"/>
      <c r="AA893" s="36"/>
      <c r="AB893" s="36"/>
    </row>
    <row r="894">
      <c r="A894" s="28"/>
      <c r="B894" s="29"/>
      <c r="C894" s="29"/>
      <c r="D894" s="30"/>
      <c r="E894" s="31"/>
      <c r="F894" s="29"/>
      <c r="G894" s="29"/>
      <c r="H894" s="29"/>
      <c r="I894" s="29"/>
      <c r="J894" s="29"/>
      <c r="K894" s="29"/>
      <c r="L894" s="32"/>
      <c r="M894" s="29"/>
      <c r="N894" s="29"/>
      <c r="O894" s="33"/>
      <c r="P894" s="29"/>
      <c r="Q894" s="29"/>
      <c r="R894" s="32"/>
      <c r="S894" s="29"/>
      <c r="T894" s="34"/>
      <c r="U894" s="29"/>
      <c r="V894" s="29"/>
      <c r="W894" s="28"/>
      <c r="X894" s="28"/>
      <c r="Y894" s="35"/>
      <c r="Z894" s="28"/>
      <c r="AA894" s="36"/>
      <c r="AB894" s="36"/>
    </row>
    <row r="895">
      <c r="A895" s="28"/>
      <c r="B895" s="29"/>
      <c r="C895" s="29"/>
      <c r="D895" s="30"/>
      <c r="E895" s="31"/>
      <c r="F895" s="29"/>
      <c r="G895" s="29"/>
      <c r="H895" s="29"/>
      <c r="I895" s="29"/>
      <c r="J895" s="29"/>
      <c r="K895" s="29"/>
      <c r="L895" s="32"/>
      <c r="M895" s="29"/>
      <c r="N895" s="29"/>
      <c r="O895" s="33"/>
      <c r="P895" s="29"/>
      <c r="Q895" s="29"/>
      <c r="R895" s="32"/>
      <c r="S895" s="29"/>
      <c r="T895" s="34"/>
      <c r="U895" s="29"/>
      <c r="V895" s="29"/>
      <c r="W895" s="28"/>
      <c r="X895" s="28"/>
      <c r="Y895" s="35"/>
      <c r="Z895" s="28"/>
      <c r="AA895" s="36"/>
      <c r="AB895" s="36"/>
    </row>
    <row r="896">
      <c r="A896" s="28"/>
      <c r="B896" s="29"/>
      <c r="C896" s="29"/>
      <c r="D896" s="30"/>
      <c r="E896" s="31"/>
      <c r="F896" s="29"/>
      <c r="G896" s="29"/>
      <c r="H896" s="29"/>
      <c r="I896" s="29"/>
      <c r="J896" s="29"/>
      <c r="K896" s="29"/>
      <c r="L896" s="32"/>
      <c r="M896" s="29"/>
      <c r="N896" s="29"/>
      <c r="O896" s="33"/>
      <c r="P896" s="29"/>
      <c r="Q896" s="29"/>
      <c r="R896" s="32"/>
      <c r="S896" s="29"/>
      <c r="T896" s="34"/>
      <c r="U896" s="29"/>
      <c r="V896" s="29"/>
      <c r="W896" s="28"/>
      <c r="X896" s="28"/>
      <c r="Y896" s="35"/>
      <c r="Z896" s="28"/>
      <c r="AA896" s="36"/>
      <c r="AB896" s="36"/>
    </row>
    <row r="897">
      <c r="A897" s="28"/>
      <c r="B897" s="29"/>
      <c r="C897" s="29"/>
      <c r="D897" s="30"/>
      <c r="E897" s="31"/>
      <c r="F897" s="29"/>
      <c r="G897" s="29"/>
      <c r="H897" s="29"/>
      <c r="I897" s="29"/>
      <c r="J897" s="29"/>
      <c r="K897" s="29"/>
      <c r="L897" s="32"/>
      <c r="M897" s="29"/>
      <c r="N897" s="29"/>
      <c r="O897" s="33"/>
      <c r="P897" s="29"/>
      <c r="Q897" s="29"/>
      <c r="R897" s="32"/>
      <c r="S897" s="29"/>
      <c r="T897" s="34"/>
      <c r="U897" s="29"/>
      <c r="V897" s="29"/>
      <c r="W897" s="28"/>
      <c r="X897" s="28"/>
      <c r="Y897" s="35"/>
      <c r="Z897" s="28"/>
      <c r="AA897" s="36"/>
      <c r="AB897" s="36"/>
    </row>
    <row r="898">
      <c r="A898" s="28"/>
      <c r="B898" s="29"/>
      <c r="C898" s="29"/>
      <c r="D898" s="30"/>
      <c r="E898" s="31"/>
      <c r="F898" s="29"/>
      <c r="G898" s="29"/>
      <c r="H898" s="29"/>
      <c r="I898" s="29"/>
      <c r="J898" s="29"/>
      <c r="K898" s="29"/>
      <c r="L898" s="32"/>
      <c r="M898" s="29"/>
      <c r="N898" s="29"/>
      <c r="O898" s="33"/>
      <c r="P898" s="29"/>
      <c r="Q898" s="29"/>
      <c r="R898" s="32"/>
      <c r="S898" s="29"/>
      <c r="T898" s="34"/>
      <c r="U898" s="29"/>
      <c r="V898" s="29"/>
      <c r="W898" s="28"/>
      <c r="X898" s="28"/>
      <c r="Y898" s="35"/>
      <c r="Z898" s="28"/>
      <c r="AA898" s="36"/>
      <c r="AB898" s="36"/>
    </row>
    <row r="899">
      <c r="A899" s="28"/>
      <c r="B899" s="29"/>
      <c r="C899" s="29"/>
      <c r="D899" s="30"/>
      <c r="E899" s="31"/>
      <c r="F899" s="29"/>
      <c r="G899" s="29"/>
      <c r="H899" s="29"/>
      <c r="I899" s="29"/>
      <c r="J899" s="29"/>
      <c r="K899" s="29"/>
      <c r="L899" s="32"/>
      <c r="M899" s="29"/>
      <c r="N899" s="29"/>
      <c r="O899" s="33"/>
      <c r="P899" s="29"/>
      <c r="Q899" s="29"/>
      <c r="R899" s="32"/>
      <c r="S899" s="29"/>
      <c r="T899" s="34"/>
      <c r="U899" s="29"/>
      <c r="V899" s="29"/>
      <c r="W899" s="28"/>
      <c r="X899" s="28"/>
      <c r="Y899" s="35"/>
      <c r="Z899" s="28"/>
      <c r="AA899" s="36"/>
      <c r="AB899" s="36"/>
    </row>
    <row r="900">
      <c r="A900" s="28"/>
      <c r="B900" s="29"/>
      <c r="C900" s="29"/>
      <c r="D900" s="30"/>
      <c r="E900" s="31"/>
      <c r="F900" s="29"/>
      <c r="G900" s="29"/>
      <c r="H900" s="29"/>
      <c r="I900" s="29"/>
      <c r="J900" s="29"/>
      <c r="K900" s="29"/>
      <c r="L900" s="32"/>
      <c r="M900" s="29"/>
      <c r="N900" s="29"/>
      <c r="O900" s="33"/>
      <c r="P900" s="29"/>
      <c r="Q900" s="29"/>
      <c r="R900" s="32"/>
      <c r="S900" s="29"/>
      <c r="T900" s="34"/>
      <c r="U900" s="29"/>
      <c r="V900" s="29"/>
      <c r="W900" s="28"/>
      <c r="X900" s="28"/>
      <c r="Y900" s="35"/>
      <c r="Z900" s="28"/>
      <c r="AA900" s="36"/>
      <c r="AB900" s="36"/>
    </row>
    <row r="901">
      <c r="A901" s="28"/>
      <c r="B901" s="29"/>
      <c r="C901" s="29"/>
      <c r="D901" s="30"/>
      <c r="E901" s="31"/>
      <c r="F901" s="29"/>
      <c r="G901" s="29"/>
      <c r="H901" s="29"/>
      <c r="I901" s="29"/>
      <c r="J901" s="29"/>
      <c r="K901" s="29"/>
      <c r="L901" s="32"/>
      <c r="M901" s="29"/>
      <c r="N901" s="29"/>
      <c r="O901" s="33"/>
      <c r="P901" s="29"/>
      <c r="Q901" s="29"/>
      <c r="R901" s="32"/>
      <c r="S901" s="29"/>
      <c r="T901" s="34"/>
      <c r="U901" s="29"/>
      <c r="V901" s="29"/>
      <c r="W901" s="28"/>
      <c r="X901" s="28"/>
      <c r="Y901" s="35"/>
      <c r="Z901" s="28"/>
      <c r="AA901" s="36"/>
      <c r="AB901" s="36"/>
    </row>
    <row r="902">
      <c r="A902" s="28"/>
      <c r="B902" s="29"/>
      <c r="C902" s="29"/>
      <c r="D902" s="30"/>
      <c r="E902" s="31"/>
      <c r="F902" s="29"/>
      <c r="G902" s="29"/>
      <c r="H902" s="29"/>
      <c r="I902" s="29"/>
      <c r="J902" s="29"/>
      <c r="K902" s="29"/>
      <c r="L902" s="32"/>
      <c r="M902" s="29"/>
      <c r="N902" s="29"/>
      <c r="O902" s="33"/>
      <c r="P902" s="29"/>
      <c r="Q902" s="29"/>
      <c r="R902" s="32"/>
      <c r="S902" s="29"/>
      <c r="T902" s="34"/>
      <c r="U902" s="29"/>
      <c r="V902" s="29"/>
      <c r="W902" s="28"/>
      <c r="X902" s="28"/>
      <c r="Y902" s="35"/>
      <c r="Z902" s="28"/>
      <c r="AA902" s="36"/>
      <c r="AB902" s="36"/>
    </row>
    <row r="903">
      <c r="A903" s="28"/>
      <c r="B903" s="29"/>
      <c r="C903" s="29"/>
      <c r="D903" s="30"/>
      <c r="E903" s="31"/>
      <c r="F903" s="29"/>
      <c r="G903" s="29"/>
      <c r="H903" s="29"/>
      <c r="I903" s="29"/>
      <c r="J903" s="29"/>
      <c r="K903" s="29"/>
      <c r="L903" s="32"/>
      <c r="M903" s="29"/>
      <c r="N903" s="29"/>
      <c r="O903" s="33"/>
      <c r="P903" s="29"/>
      <c r="Q903" s="29"/>
      <c r="R903" s="32"/>
      <c r="S903" s="29"/>
      <c r="T903" s="34"/>
      <c r="U903" s="29"/>
      <c r="V903" s="29"/>
      <c r="W903" s="28"/>
      <c r="X903" s="28"/>
      <c r="Y903" s="35"/>
      <c r="Z903" s="28"/>
      <c r="AA903" s="36"/>
      <c r="AB903" s="36"/>
    </row>
    <row r="904">
      <c r="A904" s="28"/>
      <c r="B904" s="29"/>
      <c r="C904" s="29"/>
      <c r="D904" s="30"/>
      <c r="E904" s="31"/>
      <c r="F904" s="29"/>
      <c r="G904" s="29"/>
      <c r="H904" s="29"/>
      <c r="I904" s="29"/>
      <c r="J904" s="29"/>
      <c r="K904" s="29"/>
      <c r="L904" s="32"/>
      <c r="M904" s="29"/>
      <c r="N904" s="29"/>
      <c r="O904" s="33"/>
      <c r="P904" s="29"/>
      <c r="Q904" s="29"/>
      <c r="R904" s="32"/>
      <c r="S904" s="29"/>
      <c r="T904" s="34"/>
      <c r="U904" s="29"/>
      <c r="V904" s="29"/>
      <c r="W904" s="28"/>
      <c r="X904" s="28"/>
      <c r="Y904" s="35"/>
      <c r="Z904" s="28"/>
      <c r="AA904" s="36"/>
      <c r="AB904" s="36"/>
    </row>
    <row r="905">
      <c r="A905" s="28"/>
      <c r="B905" s="29"/>
      <c r="C905" s="29"/>
      <c r="D905" s="30"/>
      <c r="E905" s="31"/>
      <c r="F905" s="29"/>
      <c r="G905" s="29"/>
      <c r="H905" s="29"/>
      <c r="I905" s="29"/>
      <c r="J905" s="29"/>
      <c r="K905" s="29"/>
      <c r="L905" s="32"/>
      <c r="M905" s="29"/>
      <c r="N905" s="29"/>
      <c r="O905" s="33"/>
      <c r="P905" s="29"/>
      <c r="Q905" s="29"/>
      <c r="R905" s="32"/>
      <c r="S905" s="29"/>
      <c r="T905" s="34"/>
      <c r="U905" s="29"/>
      <c r="V905" s="29"/>
      <c r="W905" s="28"/>
      <c r="X905" s="28"/>
      <c r="Y905" s="35"/>
      <c r="Z905" s="28"/>
      <c r="AA905" s="36"/>
      <c r="AB905" s="36"/>
    </row>
    <row r="906">
      <c r="A906" s="28"/>
      <c r="B906" s="29"/>
      <c r="C906" s="29"/>
      <c r="D906" s="30"/>
      <c r="E906" s="31"/>
      <c r="F906" s="29"/>
      <c r="G906" s="29"/>
      <c r="H906" s="29"/>
      <c r="I906" s="29"/>
      <c r="J906" s="29"/>
      <c r="K906" s="29"/>
      <c r="L906" s="32"/>
      <c r="M906" s="29"/>
      <c r="N906" s="29"/>
      <c r="O906" s="33"/>
      <c r="P906" s="29"/>
      <c r="Q906" s="29"/>
      <c r="R906" s="32"/>
      <c r="S906" s="29"/>
      <c r="T906" s="34"/>
      <c r="U906" s="29"/>
      <c r="V906" s="29"/>
      <c r="W906" s="28"/>
      <c r="X906" s="28"/>
      <c r="Y906" s="35"/>
      <c r="Z906" s="28"/>
      <c r="AA906" s="36"/>
      <c r="AB906" s="36"/>
    </row>
    <row r="907">
      <c r="A907" s="28"/>
      <c r="B907" s="29"/>
      <c r="C907" s="29"/>
      <c r="D907" s="30"/>
      <c r="E907" s="31"/>
      <c r="F907" s="29"/>
      <c r="G907" s="29"/>
      <c r="H907" s="29"/>
      <c r="I907" s="29"/>
      <c r="J907" s="29"/>
      <c r="K907" s="29"/>
      <c r="L907" s="32"/>
      <c r="M907" s="29"/>
      <c r="N907" s="29"/>
      <c r="O907" s="33"/>
      <c r="P907" s="29"/>
      <c r="Q907" s="29"/>
      <c r="R907" s="32"/>
      <c r="S907" s="29"/>
      <c r="T907" s="34"/>
      <c r="U907" s="29"/>
      <c r="V907" s="29"/>
      <c r="W907" s="28"/>
      <c r="X907" s="28"/>
      <c r="Y907" s="35"/>
      <c r="Z907" s="28"/>
      <c r="AA907" s="36"/>
      <c r="AB907" s="36"/>
    </row>
    <row r="908">
      <c r="A908" s="28"/>
      <c r="B908" s="29"/>
      <c r="C908" s="29"/>
      <c r="D908" s="30"/>
      <c r="E908" s="31"/>
      <c r="F908" s="29"/>
      <c r="G908" s="29"/>
      <c r="H908" s="29"/>
      <c r="I908" s="29"/>
      <c r="J908" s="29"/>
      <c r="K908" s="29"/>
      <c r="L908" s="32"/>
      <c r="M908" s="29"/>
      <c r="N908" s="29"/>
      <c r="O908" s="33"/>
      <c r="P908" s="29"/>
      <c r="Q908" s="29"/>
      <c r="R908" s="32"/>
      <c r="S908" s="29"/>
      <c r="T908" s="34"/>
      <c r="U908" s="29"/>
      <c r="V908" s="29"/>
      <c r="W908" s="28"/>
      <c r="X908" s="28"/>
      <c r="Y908" s="35"/>
      <c r="Z908" s="28"/>
      <c r="AA908" s="36"/>
      <c r="AB908" s="36"/>
    </row>
    <row r="909">
      <c r="A909" s="28"/>
      <c r="B909" s="29"/>
      <c r="C909" s="29"/>
      <c r="D909" s="30"/>
      <c r="E909" s="31"/>
      <c r="F909" s="29"/>
      <c r="G909" s="29"/>
      <c r="H909" s="29"/>
      <c r="I909" s="29"/>
      <c r="J909" s="29"/>
      <c r="K909" s="29"/>
      <c r="L909" s="32"/>
      <c r="M909" s="29"/>
      <c r="N909" s="29"/>
      <c r="O909" s="33"/>
      <c r="P909" s="29"/>
      <c r="Q909" s="29"/>
      <c r="R909" s="32"/>
      <c r="S909" s="29"/>
      <c r="T909" s="34"/>
      <c r="U909" s="29"/>
      <c r="V909" s="29"/>
      <c r="W909" s="28"/>
      <c r="X909" s="28"/>
      <c r="Y909" s="35"/>
      <c r="Z909" s="28"/>
      <c r="AA909" s="36"/>
      <c r="AB909" s="36"/>
    </row>
    <row r="910">
      <c r="A910" s="28"/>
      <c r="B910" s="29"/>
      <c r="C910" s="29"/>
      <c r="D910" s="30"/>
      <c r="E910" s="31"/>
      <c r="F910" s="29"/>
      <c r="G910" s="29"/>
      <c r="H910" s="29"/>
      <c r="I910" s="29"/>
      <c r="J910" s="29"/>
      <c r="K910" s="29"/>
      <c r="L910" s="32"/>
      <c r="M910" s="29"/>
      <c r="N910" s="29"/>
      <c r="O910" s="33"/>
      <c r="P910" s="29"/>
      <c r="Q910" s="29"/>
      <c r="R910" s="32"/>
      <c r="S910" s="29"/>
      <c r="T910" s="34"/>
      <c r="U910" s="29"/>
      <c r="V910" s="29"/>
      <c r="W910" s="28"/>
      <c r="X910" s="28"/>
      <c r="Y910" s="35"/>
      <c r="Z910" s="28"/>
      <c r="AA910" s="36"/>
      <c r="AB910" s="36"/>
    </row>
    <row r="911">
      <c r="A911" s="28"/>
      <c r="B911" s="29"/>
      <c r="C911" s="29"/>
      <c r="D911" s="30"/>
      <c r="E911" s="31"/>
      <c r="F911" s="29"/>
      <c r="G911" s="29"/>
      <c r="H911" s="29"/>
      <c r="I911" s="29"/>
      <c r="J911" s="29"/>
      <c r="K911" s="29"/>
      <c r="L911" s="32"/>
      <c r="M911" s="29"/>
      <c r="N911" s="29"/>
      <c r="O911" s="33"/>
      <c r="P911" s="29"/>
      <c r="Q911" s="29"/>
      <c r="R911" s="32"/>
      <c r="S911" s="29"/>
      <c r="T911" s="34"/>
      <c r="U911" s="29"/>
      <c r="V911" s="29"/>
      <c r="W911" s="28"/>
      <c r="X911" s="28"/>
      <c r="Y911" s="35"/>
      <c r="Z911" s="28"/>
      <c r="AA911" s="36"/>
      <c r="AB911" s="36"/>
    </row>
    <row r="912">
      <c r="A912" s="28"/>
      <c r="B912" s="29"/>
      <c r="C912" s="29"/>
      <c r="D912" s="30"/>
      <c r="E912" s="31"/>
      <c r="F912" s="29"/>
      <c r="G912" s="29"/>
      <c r="H912" s="29"/>
      <c r="I912" s="29"/>
      <c r="J912" s="29"/>
      <c r="K912" s="29"/>
      <c r="L912" s="32"/>
      <c r="M912" s="29"/>
      <c r="N912" s="29"/>
      <c r="O912" s="33"/>
      <c r="P912" s="29"/>
      <c r="Q912" s="29"/>
      <c r="R912" s="32"/>
      <c r="S912" s="29"/>
      <c r="T912" s="34"/>
      <c r="U912" s="29"/>
      <c r="V912" s="29"/>
      <c r="W912" s="28"/>
      <c r="X912" s="28"/>
      <c r="Y912" s="35"/>
      <c r="Z912" s="28"/>
      <c r="AA912" s="36"/>
      <c r="AB912" s="36"/>
    </row>
    <row r="913">
      <c r="A913" s="28"/>
      <c r="B913" s="29"/>
      <c r="C913" s="29"/>
      <c r="D913" s="30"/>
      <c r="E913" s="31"/>
      <c r="F913" s="29"/>
      <c r="G913" s="29"/>
      <c r="H913" s="29"/>
      <c r="I913" s="29"/>
      <c r="J913" s="29"/>
      <c r="K913" s="29"/>
      <c r="L913" s="32"/>
      <c r="M913" s="29"/>
      <c r="N913" s="29"/>
      <c r="O913" s="33"/>
      <c r="P913" s="29"/>
      <c r="Q913" s="29"/>
      <c r="R913" s="32"/>
      <c r="S913" s="29"/>
      <c r="T913" s="34"/>
      <c r="U913" s="29"/>
      <c r="V913" s="29"/>
      <c r="W913" s="28"/>
      <c r="X913" s="28"/>
      <c r="Y913" s="35"/>
      <c r="Z913" s="28"/>
      <c r="AA913" s="36"/>
      <c r="AB913" s="36"/>
    </row>
    <row r="914">
      <c r="A914" s="28"/>
      <c r="B914" s="29"/>
      <c r="C914" s="29"/>
      <c r="D914" s="30"/>
      <c r="E914" s="31"/>
      <c r="F914" s="29"/>
      <c r="G914" s="29"/>
      <c r="H914" s="29"/>
      <c r="I914" s="29"/>
      <c r="J914" s="29"/>
      <c r="K914" s="29"/>
      <c r="L914" s="32"/>
      <c r="M914" s="29"/>
      <c r="N914" s="29"/>
      <c r="O914" s="33"/>
      <c r="P914" s="29"/>
      <c r="Q914" s="29"/>
      <c r="R914" s="32"/>
      <c r="S914" s="29"/>
      <c r="T914" s="34"/>
      <c r="U914" s="29"/>
      <c r="V914" s="29"/>
      <c r="W914" s="28"/>
      <c r="X914" s="28"/>
      <c r="Y914" s="35"/>
      <c r="Z914" s="28"/>
      <c r="AA914" s="36"/>
      <c r="AB914" s="36"/>
    </row>
    <row r="915">
      <c r="A915" s="28"/>
      <c r="B915" s="29"/>
      <c r="C915" s="29"/>
      <c r="D915" s="30"/>
      <c r="E915" s="31"/>
      <c r="F915" s="29"/>
      <c r="G915" s="29"/>
      <c r="H915" s="29"/>
      <c r="I915" s="29"/>
      <c r="J915" s="29"/>
      <c r="K915" s="29"/>
      <c r="L915" s="32"/>
      <c r="M915" s="29"/>
      <c r="N915" s="29"/>
      <c r="O915" s="33"/>
      <c r="P915" s="29"/>
      <c r="Q915" s="29"/>
      <c r="R915" s="32"/>
      <c r="S915" s="29"/>
      <c r="T915" s="34"/>
      <c r="U915" s="29"/>
      <c r="V915" s="29"/>
      <c r="W915" s="28"/>
      <c r="X915" s="28"/>
      <c r="Y915" s="35"/>
      <c r="Z915" s="28"/>
      <c r="AA915" s="36"/>
      <c r="AB915" s="36"/>
    </row>
    <row r="916">
      <c r="A916" s="28"/>
      <c r="B916" s="29"/>
      <c r="C916" s="29"/>
      <c r="D916" s="30"/>
      <c r="E916" s="31"/>
      <c r="F916" s="29"/>
      <c r="G916" s="29"/>
      <c r="H916" s="29"/>
      <c r="I916" s="29"/>
      <c r="J916" s="29"/>
      <c r="K916" s="29"/>
      <c r="L916" s="32"/>
      <c r="M916" s="29"/>
      <c r="N916" s="29"/>
      <c r="O916" s="33"/>
      <c r="P916" s="29"/>
      <c r="Q916" s="29"/>
      <c r="R916" s="32"/>
      <c r="S916" s="29"/>
      <c r="T916" s="34"/>
      <c r="U916" s="29"/>
      <c r="V916" s="29"/>
      <c r="W916" s="28"/>
      <c r="X916" s="28"/>
      <c r="Y916" s="35"/>
      <c r="Z916" s="28"/>
      <c r="AA916" s="36"/>
      <c r="AB916" s="36"/>
    </row>
    <row r="917">
      <c r="A917" s="28"/>
      <c r="B917" s="29"/>
      <c r="C917" s="29"/>
      <c r="D917" s="30"/>
      <c r="E917" s="31"/>
      <c r="F917" s="29"/>
      <c r="G917" s="29"/>
      <c r="H917" s="29"/>
      <c r="I917" s="29"/>
      <c r="J917" s="29"/>
      <c r="K917" s="29"/>
      <c r="L917" s="32"/>
      <c r="M917" s="29"/>
      <c r="N917" s="29"/>
      <c r="O917" s="33"/>
      <c r="P917" s="29"/>
      <c r="Q917" s="29"/>
      <c r="R917" s="32"/>
      <c r="S917" s="29"/>
      <c r="T917" s="34"/>
      <c r="U917" s="29"/>
      <c r="V917" s="29"/>
      <c r="W917" s="28"/>
      <c r="X917" s="28"/>
      <c r="Y917" s="35"/>
      <c r="Z917" s="28"/>
      <c r="AA917" s="36"/>
      <c r="AB917" s="36"/>
    </row>
    <row r="918">
      <c r="A918" s="28"/>
      <c r="B918" s="29"/>
      <c r="C918" s="29"/>
      <c r="D918" s="30"/>
      <c r="E918" s="31"/>
      <c r="F918" s="29"/>
      <c r="G918" s="29"/>
      <c r="H918" s="29"/>
      <c r="I918" s="29"/>
      <c r="J918" s="29"/>
      <c r="K918" s="29"/>
      <c r="L918" s="32"/>
      <c r="M918" s="29"/>
      <c r="N918" s="29"/>
      <c r="O918" s="33"/>
      <c r="P918" s="29"/>
      <c r="Q918" s="29"/>
      <c r="R918" s="32"/>
      <c r="S918" s="29"/>
      <c r="T918" s="34"/>
      <c r="U918" s="29"/>
      <c r="V918" s="29"/>
      <c r="W918" s="28"/>
      <c r="X918" s="28"/>
      <c r="Y918" s="35"/>
      <c r="Z918" s="28"/>
      <c r="AA918" s="36"/>
      <c r="AB918" s="36"/>
    </row>
    <row r="919">
      <c r="A919" s="28"/>
      <c r="B919" s="29"/>
      <c r="C919" s="29"/>
      <c r="D919" s="30"/>
      <c r="E919" s="31"/>
      <c r="F919" s="29"/>
      <c r="G919" s="29"/>
      <c r="H919" s="29"/>
      <c r="I919" s="29"/>
      <c r="J919" s="29"/>
      <c r="K919" s="29"/>
      <c r="L919" s="32"/>
      <c r="M919" s="29"/>
      <c r="N919" s="29"/>
      <c r="O919" s="33"/>
      <c r="P919" s="29"/>
      <c r="Q919" s="29"/>
      <c r="R919" s="32"/>
      <c r="S919" s="29"/>
      <c r="T919" s="34"/>
      <c r="U919" s="29"/>
      <c r="V919" s="29"/>
      <c r="W919" s="28"/>
      <c r="X919" s="28"/>
      <c r="Y919" s="35"/>
      <c r="Z919" s="28"/>
      <c r="AA919" s="36"/>
      <c r="AB919" s="36"/>
    </row>
    <row r="920">
      <c r="A920" s="28"/>
      <c r="B920" s="29"/>
      <c r="C920" s="29"/>
      <c r="D920" s="30"/>
      <c r="E920" s="31"/>
      <c r="F920" s="29"/>
      <c r="G920" s="29"/>
      <c r="H920" s="29"/>
      <c r="I920" s="29"/>
      <c r="J920" s="29"/>
      <c r="K920" s="29"/>
      <c r="L920" s="32"/>
      <c r="M920" s="29"/>
      <c r="N920" s="29"/>
      <c r="O920" s="33"/>
      <c r="P920" s="29"/>
      <c r="Q920" s="29"/>
      <c r="R920" s="32"/>
      <c r="S920" s="29"/>
      <c r="T920" s="34"/>
      <c r="U920" s="29"/>
      <c r="V920" s="29"/>
      <c r="W920" s="28"/>
      <c r="X920" s="28"/>
      <c r="Y920" s="35"/>
      <c r="Z920" s="28"/>
      <c r="AA920" s="36"/>
      <c r="AB920" s="36"/>
    </row>
    <row r="921">
      <c r="A921" s="28"/>
      <c r="B921" s="29"/>
      <c r="C921" s="29"/>
      <c r="D921" s="30"/>
      <c r="E921" s="31"/>
      <c r="F921" s="29"/>
      <c r="G921" s="29"/>
      <c r="H921" s="29"/>
      <c r="I921" s="29"/>
      <c r="J921" s="29"/>
      <c r="K921" s="29"/>
      <c r="L921" s="32"/>
      <c r="M921" s="29"/>
      <c r="N921" s="29"/>
      <c r="O921" s="33"/>
      <c r="P921" s="29"/>
      <c r="Q921" s="29"/>
      <c r="R921" s="32"/>
      <c r="S921" s="29"/>
      <c r="T921" s="34"/>
      <c r="U921" s="29"/>
      <c r="V921" s="29"/>
      <c r="W921" s="28"/>
      <c r="X921" s="28"/>
      <c r="Y921" s="35"/>
      <c r="Z921" s="28"/>
      <c r="AA921" s="36"/>
      <c r="AB921" s="36"/>
    </row>
    <row r="922">
      <c r="A922" s="28"/>
      <c r="B922" s="29"/>
      <c r="C922" s="29"/>
      <c r="D922" s="30"/>
      <c r="E922" s="31"/>
      <c r="F922" s="29"/>
      <c r="G922" s="29"/>
      <c r="H922" s="29"/>
      <c r="I922" s="29"/>
      <c r="J922" s="29"/>
      <c r="K922" s="29"/>
      <c r="L922" s="32"/>
      <c r="M922" s="29"/>
      <c r="N922" s="29"/>
      <c r="O922" s="33"/>
      <c r="P922" s="29"/>
      <c r="Q922" s="29"/>
      <c r="R922" s="32"/>
      <c r="S922" s="29"/>
      <c r="T922" s="34"/>
      <c r="U922" s="29"/>
      <c r="V922" s="29"/>
      <c r="W922" s="28"/>
      <c r="X922" s="28"/>
      <c r="Y922" s="35"/>
      <c r="Z922" s="28"/>
      <c r="AA922" s="36"/>
      <c r="AB922" s="36"/>
    </row>
    <row r="923">
      <c r="A923" s="28"/>
      <c r="B923" s="29"/>
      <c r="C923" s="29"/>
      <c r="D923" s="30"/>
      <c r="E923" s="31"/>
      <c r="F923" s="29"/>
      <c r="G923" s="29"/>
      <c r="H923" s="29"/>
      <c r="I923" s="29"/>
      <c r="J923" s="29"/>
      <c r="K923" s="29"/>
      <c r="L923" s="32"/>
      <c r="M923" s="29"/>
      <c r="N923" s="29"/>
      <c r="O923" s="33"/>
      <c r="P923" s="29"/>
      <c r="Q923" s="29"/>
      <c r="R923" s="32"/>
      <c r="S923" s="29"/>
      <c r="T923" s="34"/>
      <c r="U923" s="29"/>
      <c r="V923" s="29"/>
      <c r="W923" s="28"/>
      <c r="X923" s="28"/>
      <c r="Y923" s="35"/>
      <c r="Z923" s="28"/>
      <c r="AA923" s="36"/>
      <c r="AB923" s="36"/>
    </row>
    <row r="924">
      <c r="A924" s="28"/>
      <c r="B924" s="29"/>
      <c r="C924" s="29"/>
      <c r="D924" s="30"/>
      <c r="E924" s="31"/>
      <c r="F924" s="29"/>
      <c r="G924" s="29"/>
      <c r="H924" s="29"/>
      <c r="I924" s="29"/>
      <c r="J924" s="29"/>
      <c r="K924" s="29"/>
      <c r="L924" s="32"/>
      <c r="M924" s="29"/>
      <c r="N924" s="29"/>
      <c r="O924" s="33"/>
      <c r="P924" s="29"/>
      <c r="Q924" s="29"/>
      <c r="R924" s="32"/>
      <c r="S924" s="29"/>
      <c r="T924" s="34"/>
      <c r="U924" s="29"/>
      <c r="V924" s="29"/>
      <c r="W924" s="28"/>
      <c r="X924" s="28"/>
      <c r="Y924" s="35"/>
      <c r="Z924" s="28"/>
      <c r="AA924" s="36"/>
      <c r="AB924" s="36"/>
    </row>
    <row r="925">
      <c r="A925" s="28"/>
      <c r="B925" s="29"/>
      <c r="C925" s="29"/>
      <c r="D925" s="30"/>
      <c r="E925" s="31"/>
      <c r="F925" s="29"/>
      <c r="G925" s="29"/>
      <c r="H925" s="29"/>
      <c r="I925" s="29"/>
      <c r="J925" s="29"/>
      <c r="K925" s="29"/>
      <c r="L925" s="32"/>
      <c r="M925" s="29"/>
      <c r="N925" s="29"/>
      <c r="O925" s="33"/>
      <c r="P925" s="29"/>
      <c r="Q925" s="29"/>
      <c r="R925" s="32"/>
      <c r="S925" s="29"/>
      <c r="T925" s="34"/>
      <c r="U925" s="29"/>
      <c r="V925" s="29"/>
      <c r="W925" s="28"/>
      <c r="X925" s="28"/>
      <c r="Y925" s="35"/>
      <c r="Z925" s="28"/>
      <c r="AA925" s="36"/>
      <c r="AB925" s="36"/>
    </row>
    <row r="926">
      <c r="A926" s="28"/>
      <c r="B926" s="29"/>
      <c r="C926" s="29"/>
      <c r="D926" s="30"/>
      <c r="E926" s="31"/>
      <c r="F926" s="29"/>
      <c r="G926" s="29"/>
      <c r="H926" s="29"/>
      <c r="I926" s="29"/>
      <c r="J926" s="29"/>
      <c r="K926" s="29"/>
      <c r="L926" s="32"/>
      <c r="M926" s="29"/>
      <c r="N926" s="29"/>
      <c r="O926" s="33"/>
      <c r="P926" s="29"/>
      <c r="Q926" s="29"/>
      <c r="R926" s="32"/>
      <c r="S926" s="29"/>
      <c r="T926" s="34"/>
      <c r="U926" s="29"/>
      <c r="V926" s="29"/>
      <c r="W926" s="28"/>
      <c r="X926" s="28"/>
      <c r="Y926" s="35"/>
      <c r="Z926" s="28"/>
      <c r="AA926" s="36"/>
      <c r="AB926" s="36"/>
    </row>
    <row r="927">
      <c r="A927" s="28"/>
      <c r="B927" s="29"/>
      <c r="C927" s="29"/>
      <c r="D927" s="30"/>
      <c r="E927" s="31"/>
      <c r="F927" s="29"/>
      <c r="G927" s="29"/>
      <c r="H927" s="29"/>
      <c r="I927" s="29"/>
      <c r="J927" s="29"/>
      <c r="K927" s="29"/>
      <c r="L927" s="32"/>
      <c r="M927" s="29"/>
      <c r="N927" s="29"/>
      <c r="O927" s="33"/>
      <c r="P927" s="29"/>
      <c r="Q927" s="29"/>
      <c r="R927" s="32"/>
      <c r="S927" s="29"/>
      <c r="T927" s="34"/>
      <c r="U927" s="29"/>
      <c r="V927" s="29"/>
      <c r="W927" s="28"/>
      <c r="X927" s="28"/>
      <c r="Y927" s="35"/>
      <c r="Z927" s="28"/>
      <c r="AA927" s="36"/>
      <c r="AB927" s="36"/>
    </row>
    <row r="928">
      <c r="A928" s="28"/>
      <c r="B928" s="29"/>
      <c r="C928" s="29"/>
      <c r="D928" s="30"/>
      <c r="E928" s="31"/>
      <c r="F928" s="29"/>
      <c r="G928" s="29"/>
      <c r="H928" s="29"/>
      <c r="I928" s="29"/>
      <c r="J928" s="29"/>
      <c r="K928" s="29"/>
      <c r="L928" s="32"/>
      <c r="M928" s="29"/>
      <c r="N928" s="29"/>
      <c r="O928" s="33"/>
      <c r="P928" s="29"/>
      <c r="Q928" s="29"/>
      <c r="R928" s="32"/>
      <c r="S928" s="29"/>
      <c r="T928" s="34"/>
      <c r="U928" s="29"/>
      <c r="V928" s="29"/>
      <c r="W928" s="28"/>
      <c r="X928" s="28"/>
      <c r="Y928" s="35"/>
      <c r="Z928" s="28"/>
      <c r="AA928" s="36"/>
      <c r="AB928" s="36"/>
    </row>
    <row r="929">
      <c r="A929" s="28"/>
      <c r="B929" s="29"/>
      <c r="C929" s="29"/>
      <c r="D929" s="30"/>
      <c r="E929" s="31"/>
      <c r="F929" s="29"/>
      <c r="G929" s="29"/>
      <c r="H929" s="29"/>
      <c r="I929" s="29"/>
      <c r="J929" s="29"/>
      <c r="K929" s="29"/>
      <c r="L929" s="32"/>
      <c r="M929" s="29"/>
      <c r="N929" s="29"/>
      <c r="O929" s="33"/>
      <c r="P929" s="29"/>
      <c r="Q929" s="29"/>
      <c r="R929" s="32"/>
      <c r="S929" s="29"/>
      <c r="T929" s="34"/>
      <c r="U929" s="29"/>
      <c r="V929" s="29"/>
      <c r="W929" s="28"/>
      <c r="X929" s="28"/>
      <c r="Y929" s="35"/>
      <c r="Z929" s="28"/>
      <c r="AA929" s="36"/>
      <c r="AB929" s="36"/>
    </row>
    <row r="930">
      <c r="A930" s="28"/>
      <c r="B930" s="29"/>
      <c r="C930" s="29"/>
      <c r="D930" s="30"/>
      <c r="E930" s="31"/>
      <c r="F930" s="29"/>
      <c r="G930" s="29"/>
      <c r="H930" s="29"/>
      <c r="I930" s="29"/>
      <c r="J930" s="29"/>
      <c r="K930" s="29"/>
      <c r="L930" s="32"/>
      <c r="M930" s="29"/>
      <c r="N930" s="29"/>
      <c r="O930" s="33"/>
      <c r="P930" s="29"/>
      <c r="Q930" s="29"/>
      <c r="R930" s="32"/>
      <c r="S930" s="29"/>
      <c r="T930" s="34"/>
      <c r="U930" s="29"/>
      <c r="V930" s="29"/>
      <c r="W930" s="28"/>
      <c r="X930" s="28"/>
      <c r="Y930" s="35"/>
      <c r="Z930" s="28"/>
      <c r="AA930" s="36"/>
      <c r="AB930" s="36"/>
    </row>
    <row r="931">
      <c r="A931" s="28"/>
      <c r="B931" s="29"/>
      <c r="C931" s="29"/>
      <c r="D931" s="30"/>
      <c r="E931" s="31"/>
      <c r="F931" s="29"/>
      <c r="G931" s="29"/>
      <c r="H931" s="29"/>
      <c r="I931" s="29"/>
      <c r="J931" s="29"/>
      <c r="K931" s="29"/>
      <c r="L931" s="32"/>
      <c r="M931" s="29"/>
      <c r="N931" s="29"/>
      <c r="O931" s="33"/>
      <c r="P931" s="29"/>
      <c r="Q931" s="29"/>
      <c r="R931" s="32"/>
      <c r="S931" s="29"/>
      <c r="T931" s="34"/>
      <c r="U931" s="29"/>
      <c r="V931" s="29"/>
      <c r="W931" s="28"/>
      <c r="X931" s="28"/>
      <c r="Y931" s="35"/>
      <c r="Z931" s="28"/>
      <c r="AA931" s="36"/>
      <c r="AB931" s="36"/>
    </row>
    <row r="932">
      <c r="A932" s="28"/>
      <c r="B932" s="29"/>
      <c r="C932" s="29"/>
      <c r="D932" s="30"/>
      <c r="E932" s="31"/>
      <c r="F932" s="29"/>
      <c r="G932" s="29"/>
      <c r="H932" s="29"/>
      <c r="I932" s="29"/>
      <c r="J932" s="29"/>
      <c r="K932" s="29"/>
      <c r="L932" s="32"/>
      <c r="M932" s="29"/>
      <c r="N932" s="29"/>
      <c r="O932" s="33"/>
      <c r="P932" s="29"/>
      <c r="Q932" s="29"/>
      <c r="R932" s="32"/>
      <c r="S932" s="29"/>
      <c r="T932" s="34"/>
      <c r="U932" s="29"/>
      <c r="V932" s="29"/>
      <c r="W932" s="28"/>
      <c r="X932" s="28"/>
      <c r="Y932" s="35"/>
      <c r="Z932" s="28"/>
      <c r="AA932" s="36"/>
      <c r="AB932" s="36"/>
    </row>
    <row r="933">
      <c r="A933" s="28"/>
      <c r="B933" s="29"/>
      <c r="C933" s="29"/>
      <c r="D933" s="30"/>
      <c r="E933" s="31"/>
      <c r="F933" s="29"/>
      <c r="G933" s="29"/>
      <c r="H933" s="29"/>
      <c r="I933" s="29"/>
      <c r="J933" s="29"/>
      <c r="K933" s="29"/>
      <c r="L933" s="32"/>
      <c r="M933" s="29"/>
      <c r="N933" s="29"/>
      <c r="O933" s="33"/>
      <c r="P933" s="29"/>
      <c r="Q933" s="29"/>
      <c r="R933" s="32"/>
      <c r="S933" s="29"/>
      <c r="T933" s="34"/>
      <c r="U933" s="29"/>
      <c r="V933" s="29"/>
      <c r="W933" s="28"/>
      <c r="X933" s="28"/>
      <c r="Y933" s="35"/>
      <c r="Z933" s="28"/>
      <c r="AA933" s="36"/>
      <c r="AB933" s="36"/>
    </row>
    <row r="934">
      <c r="A934" s="28"/>
      <c r="B934" s="29"/>
      <c r="C934" s="29"/>
      <c r="D934" s="30"/>
      <c r="E934" s="31"/>
      <c r="F934" s="29"/>
      <c r="G934" s="29"/>
      <c r="H934" s="29"/>
      <c r="I934" s="29"/>
      <c r="J934" s="29"/>
      <c r="K934" s="29"/>
      <c r="L934" s="32"/>
      <c r="M934" s="29"/>
      <c r="N934" s="29"/>
      <c r="O934" s="33"/>
      <c r="P934" s="29"/>
      <c r="Q934" s="29"/>
      <c r="R934" s="32"/>
      <c r="S934" s="29"/>
      <c r="T934" s="34"/>
      <c r="U934" s="29"/>
      <c r="V934" s="29"/>
      <c r="W934" s="28"/>
      <c r="X934" s="28"/>
      <c r="Y934" s="35"/>
      <c r="Z934" s="28"/>
      <c r="AA934" s="36"/>
      <c r="AB934" s="36"/>
    </row>
    <row r="935">
      <c r="A935" s="28"/>
      <c r="B935" s="29"/>
      <c r="C935" s="29"/>
      <c r="D935" s="30"/>
      <c r="E935" s="31"/>
      <c r="F935" s="29"/>
      <c r="G935" s="29"/>
      <c r="H935" s="29"/>
      <c r="I935" s="29"/>
      <c r="J935" s="29"/>
      <c r="K935" s="29"/>
      <c r="L935" s="32"/>
      <c r="M935" s="29"/>
      <c r="N935" s="29"/>
      <c r="O935" s="33"/>
      <c r="P935" s="29"/>
      <c r="Q935" s="29"/>
      <c r="R935" s="32"/>
      <c r="S935" s="29"/>
      <c r="T935" s="34"/>
      <c r="U935" s="29"/>
      <c r="V935" s="29"/>
      <c r="W935" s="28"/>
      <c r="X935" s="28"/>
      <c r="Y935" s="35"/>
      <c r="Z935" s="28"/>
      <c r="AA935" s="36"/>
      <c r="AB935" s="36"/>
    </row>
    <row r="936">
      <c r="A936" s="28"/>
      <c r="B936" s="29"/>
      <c r="C936" s="29"/>
      <c r="D936" s="30"/>
      <c r="E936" s="31"/>
      <c r="F936" s="29"/>
      <c r="G936" s="29"/>
      <c r="H936" s="29"/>
      <c r="I936" s="29"/>
      <c r="J936" s="29"/>
      <c r="K936" s="29"/>
      <c r="L936" s="32"/>
      <c r="M936" s="29"/>
      <c r="N936" s="29"/>
      <c r="O936" s="33"/>
      <c r="P936" s="29"/>
      <c r="Q936" s="29"/>
      <c r="R936" s="32"/>
      <c r="S936" s="29"/>
      <c r="T936" s="34"/>
      <c r="U936" s="29"/>
      <c r="V936" s="29"/>
      <c r="W936" s="28"/>
      <c r="X936" s="28"/>
      <c r="Y936" s="35"/>
      <c r="Z936" s="28"/>
      <c r="AA936" s="36"/>
      <c r="AB936" s="36"/>
    </row>
    <row r="937">
      <c r="A937" s="28"/>
      <c r="B937" s="29"/>
      <c r="C937" s="29"/>
      <c r="D937" s="30"/>
      <c r="E937" s="31"/>
      <c r="F937" s="29"/>
      <c r="G937" s="29"/>
      <c r="H937" s="29"/>
      <c r="I937" s="29"/>
      <c r="J937" s="29"/>
      <c r="K937" s="29"/>
      <c r="L937" s="32"/>
      <c r="M937" s="29"/>
      <c r="N937" s="29"/>
      <c r="O937" s="33"/>
      <c r="P937" s="29"/>
      <c r="Q937" s="29"/>
      <c r="R937" s="32"/>
      <c r="S937" s="29"/>
      <c r="T937" s="34"/>
      <c r="U937" s="29"/>
      <c r="V937" s="29"/>
      <c r="W937" s="28"/>
      <c r="X937" s="28"/>
      <c r="Y937" s="35"/>
      <c r="Z937" s="28"/>
      <c r="AA937" s="36"/>
      <c r="AB937" s="36"/>
    </row>
    <row r="938">
      <c r="A938" s="28"/>
      <c r="B938" s="29"/>
      <c r="C938" s="29"/>
      <c r="D938" s="30"/>
      <c r="E938" s="31"/>
      <c r="F938" s="29"/>
      <c r="G938" s="29"/>
      <c r="H938" s="29"/>
      <c r="I938" s="29"/>
      <c r="J938" s="29"/>
      <c r="K938" s="29"/>
      <c r="L938" s="32"/>
      <c r="M938" s="29"/>
      <c r="N938" s="29"/>
      <c r="O938" s="33"/>
      <c r="P938" s="29"/>
      <c r="Q938" s="29"/>
      <c r="R938" s="32"/>
      <c r="S938" s="29"/>
      <c r="T938" s="34"/>
      <c r="U938" s="29"/>
      <c r="V938" s="29"/>
      <c r="W938" s="28"/>
      <c r="X938" s="28"/>
      <c r="Y938" s="35"/>
      <c r="Z938" s="28"/>
      <c r="AA938" s="36"/>
      <c r="AB938" s="36"/>
    </row>
    <row r="939">
      <c r="A939" s="28"/>
      <c r="B939" s="29"/>
      <c r="C939" s="29"/>
      <c r="D939" s="30"/>
      <c r="E939" s="31"/>
      <c r="F939" s="29"/>
      <c r="G939" s="29"/>
      <c r="H939" s="29"/>
      <c r="I939" s="29"/>
      <c r="J939" s="29"/>
      <c r="K939" s="29"/>
      <c r="L939" s="32"/>
      <c r="M939" s="29"/>
      <c r="N939" s="29"/>
      <c r="O939" s="33"/>
      <c r="P939" s="29"/>
      <c r="Q939" s="29"/>
      <c r="R939" s="32"/>
      <c r="S939" s="29"/>
      <c r="T939" s="34"/>
      <c r="U939" s="29"/>
      <c r="V939" s="29"/>
      <c r="W939" s="28"/>
      <c r="X939" s="28"/>
      <c r="Y939" s="35"/>
      <c r="Z939" s="28"/>
      <c r="AA939" s="36"/>
      <c r="AB939" s="36"/>
    </row>
    <row r="940">
      <c r="A940" s="28"/>
      <c r="B940" s="29"/>
      <c r="C940" s="29"/>
      <c r="D940" s="30"/>
      <c r="E940" s="31"/>
      <c r="F940" s="29"/>
      <c r="G940" s="29"/>
      <c r="H940" s="29"/>
      <c r="I940" s="29"/>
      <c r="J940" s="29"/>
      <c r="K940" s="29"/>
      <c r="L940" s="32"/>
      <c r="M940" s="29"/>
      <c r="N940" s="29"/>
      <c r="O940" s="33"/>
      <c r="P940" s="29"/>
      <c r="Q940" s="29"/>
      <c r="R940" s="32"/>
      <c r="S940" s="29"/>
      <c r="T940" s="34"/>
      <c r="U940" s="29"/>
      <c r="V940" s="29"/>
      <c r="W940" s="28"/>
      <c r="X940" s="28"/>
      <c r="Y940" s="35"/>
      <c r="Z940" s="28"/>
      <c r="AA940" s="36"/>
      <c r="AB940" s="36"/>
    </row>
    <row r="941">
      <c r="A941" s="28"/>
      <c r="B941" s="29"/>
      <c r="C941" s="29"/>
      <c r="D941" s="30"/>
      <c r="E941" s="31"/>
      <c r="F941" s="29"/>
      <c r="G941" s="29"/>
      <c r="H941" s="29"/>
      <c r="I941" s="29"/>
      <c r="J941" s="29"/>
      <c r="K941" s="29"/>
      <c r="L941" s="32"/>
      <c r="M941" s="29"/>
      <c r="N941" s="29"/>
      <c r="O941" s="33"/>
      <c r="P941" s="29"/>
      <c r="Q941" s="29"/>
      <c r="R941" s="32"/>
      <c r="S941" s="29"/>
      <c r="T941" s="34"/>
      <c r="U941" s="29"/>
      <c r="V941" s="29"/>
      <c r="W941" s="28"/>
      <c r="X941" s="28"/>
      <c r="Y941" s="35"/>
      <c r="Z941" s="28"/>
      <c r="AA941" s="36"/>
      <c r="AB941" s="36"/>
    </row>
    <row r="942">
      <c r="A942" s="28"/>
      <c r="B942" s="29"/>
      <c r="C942" s="29"/>
      <c r="D942" s="30"/>
      <c r="E942" s="31"/>
      <c r="F942" s="29"/>
      <c r="G942" s="29"/>
      <c r="H942" s="29"/>
      <c r="I942" s="29"/>
      <c r="J942" s="29"/>
      <c r="K942" s="29"/>
      <c r="L942" s="32"/>
      <c r="M942" s="29"/>
      <c r="N942" s="29"/>
      <c r="O942" s="33"/>
      <c r="P942" s="29"/>
      <c r="Q942" s="29"/>
      <c r="R942" s="32"/>
      <c r="S942" s="29"/>
      <c r="T942" s="34"/>
      <c r="U942" s="29"/>
      <c r="V942" s="29"/>
      <c r="W942" s="28"/>
      <c r="X942" s="28"/>
      <c r="Y942" s="35"/>
      <c r="Z942" s="28"/>
      <c r="AA942" s="36"/>
      <c r="AB942" s="36"/>
    </row>
    <row r="943">
      <c r="A943" s="28"/>
      <c r="B943" s="29"/>
      <c r="C943" s="29"/>
      <c r="D943" s="30"/>
      <c r="E943" s="31"/>
      <c r="F943" s="29"/>
      <c r="G943" s="29"/>
      <c r="H943" s="29"/>
      <c r="I943" s="29"/>
      <c r="J943" s="29"/>
      <c r="K943" s="29"/>
      <c r="L943" s="32"/>
      <c r="M943" s="29"/>
      <c r="N943" s="29"/>
      <c r="O943" s="33"/>
      <c r="P943" s="29"/>
      <c r="Q943" s="29"/>
      <c r="R943" s="32"/>
      <c r="S943" s="29"/>
      <c r="T943" s="34"/>
      <c r="U943" s="29"/>
      <c r="V943" s="29"/>
      <c r="W943" s="28"/>
      <c r="X943" s="28"/>
      <c r="Y943" s="35"/>
      <c r="Z943" s="28"/>
      <c r="AA943" s="36"/>
      <c r="AB943" s="36"/>
    </row>
    <row r="944">
      <c r="A944" s="28"/>
      <c r="B944" s="29"/>
      <c r="C944" s="29"/>
      <c r="D944" s="30"/>
      <c r="E944" s="31"/>
      <c r="F944" s="29"/>
      <c r="G944" s="29"/>
      <c r="H944" s="29"/>
      <c r="I944" s="29"/>
      <c r="J944" s="29"/>
      <c r="K944" s="29"/>
      <c r="L944" s="32"/>
      <c r="M944" s="29"/>
      <c r="N944" s="29"/>
      <c r="O944" s="33"/>
      <c r="P944" s="29"/>
      <c r="Q944" s="29"/>
      <c r="R944" s="32"/>
      <c r="S944" s="29"/>
      <c r="T944" s="34"/>
      <c r="U944" s="29"/>
      <c r="V944" s="29"/>
      <c r="W944" s="28"/>
      <c r="X944" s="28"/>
      <c r="Y944" s="35"/>
      <c r="Z944" s="28"/>
      <c r="AA944" s="36"/>
      <c r="AB944" s="36"/>
    </row>
    <row r="945">
      <c r="A945" s="28"/>
      <c r="B945" s="29"/>
      <c r="C945" s="29"/>
      <c r="D945" s="30"/>
      <c r="E945" s="31"/>
      <c r="F945" s="29"/>
      <c r="G945" s="29"/>
      <c r="H945" s="29"/>
      <c r="I945" s="29"/>
      <c r="J945" s="29"/>
      <c r="K945" s="29"/>
      <c r="L945" s="32"/>
      <c r="M945" s="29"/>
      <c r="N945" s="29"/>
      <c r="O945" s="33"/>
      <c r="P945" s="29"/>
      <c r="Q945" s="29"/>
      <c r="R945" s="32"/>
      <c r="S945" s="29"/>
      <c r="T945" s="34"/>
      <c r="U945" s="29"/>
      <c r="V945" s="29"/>
      <c r="W945" s="28"/>
      <c r="X945" s="28"/>
      <c r="Y945" s="35"/>
      <c r="Z945" s="28"/>
      <c r="AA945" s="36"/>
      <c r="AB945" s="36"/>
    </row>
    <row r="946">
      <c r="A946" s="28"/>
      <c r="B946" s="29"/>
      <c r="C946" s="29"/>
      <c r="D946" s="30"/>
      <c r="E946" s="31"/>
      <c r="F946" s="29"/>
      <c r="G946" s="29"/>
      <c r="H946" s="29"/>
      <c r="I946" s="29"/>
      <c r="J946" s="29"/>
      <c r="K946" s="29"/>
      <c r="L946" s="32"/>
      <c r="M946" s="29"/>
      <c r="N946" s="29"/>
      <c r="O946" s="33"/>
      <c r="P946" s="29"/>
      <c r="Q946" s="29"/>
      <c r="R946" s="32"/>
      <c r="S946" s="29"/>
      <c r="T946" s="34"/>
      <c r="U946" s="29"/>
      <c r="V946" s="29"/>
      <c r="W946" s="28"/>
      <c r="X946" s="28"/>
      <c r="Y946" s="35"/>
      <c r="Z946" s="28"/>
      <c r="AA946" s="36"/>
      <c r="AB946" s="36"/>
    </row>
    <row r="947">
      <c r="A947" s="28"/>
      <c r="B947" s="29"/>
      <c r="C947" s="29"/>
      <c r="D947" s="30"/>
      <c r="E947" s="31"/>
      <c r="F947" s="29"/>
      <c r="G947" s="29"/>
      <c r="H947" s="29"/>
      <c r="I947" s="29"/>
      <c r="J947" s="29"/>
      <c r="K947" s="29"/>
      <c r="L947" s="32"/>
      <c r="M947" s="29"/>
      <c r="N947" s="29"/>
      <c r="O947" s="33"/>
      <c r="P947" s="29"/>
      <c r="Q947" s="29"/>
      <c r="R947" s="32"/>
      <c r="S947" s="29"/>
      <c r="T947" s="34"/>
      <c r="U947" s="29"/>
      <c r="V947" s="29"/>
      <c r="W947" s="28"/>
      <c r="X947" s="28"/>
      <c r="Y947" s="35"/>
      <c r="Z947" s="28"/>
      <c r="AA947" s="36"/>
      <c r="AB947" s="36"/>
    </row>
    <row r="948">
      <c r="A948" s="28"/>
      <c r="B948" s="29"/>
      <c r="C948" s="29"/>
      <c r="D948" s="30"/>
      <c r="E948" s="31"/>
      <c r="F948" s="29"/>
      <c r="G948" s="29"/>
      <c r="H948" s="29"/>
      <c r="I948" s="29"/>
      <c r="J948" s="29"/>
      <c r="K948" s="29"/>
      <c r="L948" s="32"/>
      <c r="M948" s="29"/>
      <c r="N948" s="29"/>
      <c r="O948" s="33"/>
      <c r="P948" s="29"/>
      <c r="Q948" s="29"/>
      <c r="R948" s="32"/>
      <c r="S948" s="29"/>
      <c r="T948" s="34"/>
      <c r="U948" s="29"/>
      <c r="V948" s="29"/>
      <c r="W948" s="28"/>
      <c r="X948" s="28"/>
      <c r="Y948" s="35"/>
      <c r="Z948" s="28"/>
      <c r="AA948" s="36"/>
      <c r="AB948" s="36"/>
    </row>
    <row r="949">
      <c r="A949" s="28"/>
      <c r="B949" s="29"/>
      <c r="C949" s="29"/>
      <c r="D949" s="30"/>
      <c r="E949" s="31"/>
      <c r="F949" s="29"/>
      <c r="G949" s="29"/>
      <c r="H949" s="29"/>
      <c r="I949" s="29"/>
      <c r="J949" s="29"/>
      <c r="K949" s="29"/>
      <c r="L949" s="32"/>
      <c r="M949" s="29"/>
      <c r="N949" s="29"/>
      <c r="O949" s="33"/>
      <c r="P949" s="29"/>
      <c r="Q949" s="29"/>
      <c r="R949" s="32"/>
      <c r="S949" s="29"/>
      <c r="T949" s="34"/>
      <c r="U949" s="29"/>
      <c r="V949" s="29"/>
      <c r="W949" s="28"/>
      <c r="X949" s="28"/>
      <c r="Y949" s="35"/>
      <c r="Z949" s="28"/>
      <c r="AA949" s="36"/>
      <c r="AB949" s="36"/>
    </row>
    <row r="950">
      <c r="A950" s="28"/>
      <c r="B950" s="29"/>
      <c r="C950" s="29"/>
      <c r="D950" s="30"/>
      <c r="E950" s="31"/>
      <c r="F950" s="29"/>
      <c r="G950" s="29"/>
      <c r="H950" s="29"/>
      <c r="I950" s="29"/>
      <c r="J950" s="29"/>
      <c r="K950" s="29"/>
      <c r="L950" s="32"/>
      <c r="M950" s="29"/>
      <c r="N950" s="29"/>
      <c r="O950" s="33"/>
      <c r="P950" s="29"/>
      <c r="Q950" s="29"/>
      <c r="R950" s="32"/>
      <c r="S950" s="29"/>
      <c r="T950" s="34"/>
      <c r="U950" s="29"/>
      <c r="V950" s="29"/>
      <c r="W950" s="28"/>
      <c r="X950" s="28"/>
      <c r="Y950" s="35"/>
      <c r="Z950" s="28"/>
      <c r="AA950" s="36"/>
      <c r="AB950" s="36"/>
    </row>
    <row r="951">
      <c r="A951" s="28"/>
      <c r="B951" s="29"/>
      <c r="C951" s="29"/>
      <c r="D951" s="30"/>
      <c r="E951" s="31"/>
      <c r="F951" s="29"/>
      <c r="G951" s="29"/>
      <c r="H951" s="29"/>
      <c r="I951" s="29"/>
      <c r="J951" s="29"/>
      <c r="K951" s="29"/>
      <c r="L951" s="32"/>
      <c r="M951" s="29"/>
      <c r="N951" s="29"/>
      <c r="O951" s="33"/>
      <c r="P951" s="29"/>
      <c r="Q951" s="29"/>
      <c r="R951" s="32"/>
      <c r="S951" s="29"/>
      <c r="T951" s="34"/>
      <c r="U951" s="29"/>
      <c r="V951" s="29"/>
      <c r="W951" s="28"/>
      <c r="X951" s="28"/>
      <c r="Y951" s="35"/>
      <c r="Z951" s="28"/>
      <c r="AA951" s="36"/>
      <c r="AB951" s="36"/>
    </row>
    <row r="952">
      <c r="A952" s="28"/>
      <c r="B952" s="29"/>
      <c r="C952" s="29"/>
      <c r="D952" s="30"/>
      <c r="E952" s="31"/>
      <c r="F952" s="29"/>
      <c r="G952" s="29"/>
      <c r="H952" s="29"/>
      <c r="I952" s="29"/>
      <c r="J952" s="29"/>
      <c r="K952" s="29"/>
      <c r="L952" s="32"/>
      <c r="M952" s="29"/>
      <c r="N952" s="29"/>
      <c r="O952" s="33"/>
      <c r="P952" s="29"/>
      <c r="Q952" s="29"/>
      <c r="R952" s="32"/>
      <c r="S952" s="29"/>
      <c r="T952" s="34"/>
      <c r="U952" s="29"/>
      <c r="V952" s="29"/>
      <c r="W952" s="28"/>
      <c r="X952" s="28"/>
      <c r="Y952" s="35"/>
      <c r="Z952" s="28"/>
      <c r="AA952" s="36"/>
      <c r="AB952" s="36"/>
    </row>
    <row r="953">
      <c r="A953" s="28"/>
      <c r="B953" s="29"/>
      <c r="C953" s="29"/>
      <c r="D953" s="30"/>
      <c r="E953" s="31"/>
      <c r="F953" s="29"/>
      <c r="G953" s="29"/>
      <c r="H953" s="29"/>
      <c r="I953" s="29"/>
      <c r="J953" s="29"/>
      <c r="K953" s="29"/>
      <c r="L953" s="32"/>
      <c r="M953" s="29"/>
      <c r="N953" s="29"/>
      <c r="O953" s="33"/>
      <c r="P953" s="29"/>
      <c r="Q953" s="29"/>
      <c r="R953" s="32"/>
      <c r="S953" s="29"/>
      <c r="T953" s="34"/>
      <c r="U953" s="29"/>
      <c r="V953" s="29"/>
      <c r="W953" s="28"/>
      <c r="X953" s="28"/>
      <c r="Y953" s="35"/>
      <c r="Z953" s="28"/>
      <c r="AA953" s="36"/>
      <c r="AB953" s="36"/>
    </row>
    <row r="954">
      <c r="A954" s="28"/>
      <c r="B954" s="29"/>
      <c r="C954" s="29"/>
      <c r="D954" s="30"/>
      <c r="E954" s="31"/>
      <c r="F954" s="29"/>
      <c r="G954" s="29"/>
      <c r="H954" s="29"/>
      <c r="I954" s="29"/>
      <c r="J954" s="29"/>
      <c r="K954" s="29"/>
      <c r="L954" s="32"/>
      <c r="M954" s="29"/>
      <c r="N954" s="29"/>
      <c r="O954" s="33"/>
      <c r="P954" s="29"/>
      <c r="Q954" s="29"/>
      <c r="R954" s="32"/>
      <c r="S954" s="29"/>
      <c r="T954" s="34"/>
      <c r="U954" s="29"/>
      <c r="V954" s="29"/>
      <c r="W954" s="28"/>
      <c r="X954" s="28"/>
      <c r="Y954" s="35"/>
      <c r="Z954" s="28"/>
      <c r="AA954" s="36"/>
      <c r="AB954" s="36"/>
    </row>
    <row r="955">
      <c r="A955" s="28"/>
      <c r="B955" s="29"/>
      <c r="C955" s="29"/>
      <c r="D955" s="30"/>
      <c r="E955" s="31"/>
      <c r="F955" s="29"/>
      <c r="G955" s="29"/>
      <c r="H955" s="29"/>
      <c r="I955" s="29"/>
      <c r="J955" s="29"/>
      <c r="K955" s="29"/>
      <c r="L955" s="32"/>
      <c r="M955" s="29"/>
      <c r="N955" s="29"/>
      <c r="O955" s="33"/>
      <c r="P955" s="29"/>
      <c r="Q955" s="29"/>
      <c r="R955" s="32"/>
      <c r="S955" s="29"/>
      <c r="T955" s="34"/>
      <c r="U955" s="29"/>
      <c r="V955" s="29"/>
      <c r="W955" s="28"/>
      <c r="X955" s="28"/>
      <c r="Y955" s="35"/>
      <c r="Z955" s="28"/>
      <c r="AA955" s="36"/>
      <c r="AB955" s="36"/>
    </row>
    <row r="956">
      <c r="A956" s="28"/>
      <c r="B956" s="29"/>
      <c r="C956" s="29"/>
      <c r="D956" s="30"/>
      <c r="E956" s="31"/>
      <c r="F956" s="29"/>
      <c r="G956" s="29"/>
      <c r="H956" s="29"/>
      <c r="I956" s="29"/>
      <c r="J956" s="29"/>
      <c r="K956" s="29"/>
      <c r="L956" s="32"/>
      <c r="M956" s="29"/>
      <c r="N956" s="29"/>
      <c r="O956" s="33"/>
      <c r="P956" s="29"/>
      <c r="Q956" s="29"/>
      <c r="R956" s="32"/>
      <c r="S956" s="29"/>
      <c r="T956" s="34"/>
      <c r="U956" s="29"/>
      <c r="V956" s="29"/>
      <c r="W956" s="28"/>
      <c r="X956" s="28"/>
      <c r="Y956" s="35"/>
      <c r="Z956" s="28"/>
      <c r="AA956" s="36"/>
      <c r="AB956" s="36"/>
    </row>
    <row r="957">
      <c r="A957" s="28"/>
      <c r="B957" s="29"/>
      <c r="C957" s="29"/>
      <c r="D957" s="30"/>
      <c r="E957" s="31"/>
      <c r="F957" s="29"/>
      <c r="G957" s="29"/>
      <c r="H957" s="29"/>
      <c r="I957" s="29"/>
      <c r="J957" s="29"/>
      <c r="K957" s="29"/>
      <c r="L957" s="32"/>
      <c r="M957" s="29"/>
      <c r="N957" s="29"/>
      <c r="O957" s="33"/>
      <c r="P957" s="29"/>
      <c r="Q957" s="29"/>
      <c r="R957" s="32"/>
      <c r="S957" s="29"/>
      <c r="T957" s="34"/>
      <c r="U957" s="29"/>
      <c r="V957" s="29"/>
      <c r="W957" s="28"/>
      <c r="X957" s="28"/>
      <c r="Y957" s="35"/>
      <c r="Z957" s="28"/>
      <c r="AA957" s="36"/>
      <c r="AB957" s="36"/>
    </row>
    <row r="958">
      <c r="A958" s="28"/>
      <c r="B958" s="29"/>
      <c r="C958" s="29"/>
      <c r="D958" s="30"/>
      <c r="E958" s="31"/>
      <c r="F958" s="29"/>
      <c r="G958" s="29"/>
      <c r="H958" s="29"/>
      <c r="I958" s="29"/>
      <c r="J958" s="29"/>
      <c r="K958" s="29"/>
      <c r="L958" s="32"/>
      <c r="M958" s="29"/>
      <c r="N958" s="29"/>
      <c r="O958" s="33"/>
      <c r="P958" s="29"/>
      <c r="Q958" s="29"/>
      <c r="R958" s="32"/>
      <c r="S958" s="29"/>
      <c r="T958" s="34"/>
      <c r="U958" s="29"/>
      <c r="V958" s="29"/>
      <c r="W958" s="28"/>
      <c r="X958" s="28"/>
      <c r="Y958" s="35"/>
      <c r="Z958" s="28"/>
      <c r="AA958" s="36"/>
      <c r="AB958" s="36"/>
    </row>
    <row r="959">
      <c r="A959" s="28"/>
      <c r="B959" s="29"/>
      <c r="C959" s="29"/>
      <c r="D959" s="30"/>
      <c r="E959" s="31"/>
      <c r="F959" s="29"/>
      <c r="G959" s="29"/>
      <c r="H959" s="29"/>
      <c r="I959" s="29"/>
      <c r="J959" s="29"/>
      <c r="K959" s="29"/>
      <c r="L959" s="32"/>
      <c r="M959" s="29"/>
      <c r="N959" s="29"/>
      <c r="O959" s="33"/>
      <c r="P959" s="29"/>
      <c r="Q959" s="29"/>
      <c r="R959" s="32"/>
      <c r="S959" s="29"/>
      <c r="T959" s="34"/>
      <c r="U959" s="29"/>
      <c r="V959" s="29"/>
      <c r="W959" s="28"/>
      <c r="X959" s="28"/>
      <c r="Y959" s="35"/>
      <c r="Z959" s="28"/>
      <c r="AA959" s="36"/>
      <c r="AB959" s="36"/>
    </row>
    <row r="960">
      <c r="A960" s="28"/>
      <c r="B960" s="29"/>
      <c r="C960" s="29"/>
      <c r="D960" s="30"/>
      <c r="E960" s="31"/>
      <c r="F960" s="29"/>
      <c r="G960" s="29"/>
      <c r="H960" s="29"/>
      <c r="I960" s="29"/>
      <c r="J960" s="29"/>
      <c r="K960" s="29"/>
      <c r="L960" s="32"/>
      <c r="M960" s="29"/>
      <c r="N960" s="29"/>
      <c r="O960" s="33"/>
      <c r="P960" s="29"/>
      <c r="Q960" s="29"/>
      <c r="R960" s="32"/>
      <c r="S960" s="29"/>
      <c r="T960" s="34"/>
      <c r="U960" s="29"/>
      <c r="V960" s="29"/>
      <c r="W960" s="28"/>
      <c r="X960" s="28"/>
      <c r="Y960" s="35"/>
      <c r="Z960" s="28"/>
      <c r="AA960" s="36"/>
      <c r="AB960" s="36"/>
    </row>
    <row r="961">
      <c r="A961" s="28"/>
      <c r="B961" s="29"/>
      <c r="C961" s="29"/>
      <c r="D961" s="30"/>
      <c r="E961" s="31"/>
      <c r="F961" s="29"/>
      <c r="G961" s="29"/>
      <c r="H961" s="29"/>
      <c r="I961" s="29"/>
      <c r="J961" s="29"/>
      <c r="K961" s="29"/>
      <c r="L961" s="32"/>
      <c r="M961" s="29"/>
      <c r="N961" s="29"/>
      <c r="O961" s="33"/>
      <c r="P961" s="29"/>
      <c r="Q961" s="29"/>
      <c r="R961" s="32"/>
      <c r="S961" s="29"/>
      <c r="T961" s="34"/>
      <c r="U961" s="29"/>
      <c r="V961" s="29"/>
      <c r="W961" s="28"/>
      <c r="X961" s="28"/>
      <c r="Y961" s="35"/>
      <c r="Z961" s="28"/>
      <c r="AA961" s="36"/>
      <c r="AB961" s="36"/>
    </row>
    <row r="962">
      <c r="A962" s="28"/>
      <c r="B962" s="29"/>
      <c r="C962" s="29"/>
      <c r="D962" s="30"/>
      <c r="E962" s="31"/>
      <c r="F962" s="29"/>
      <c r="G962" s="29"/>
      <c r="H962" s="29"/>
      <c r="I962" s="29"/>
      <c r="J962" s="29"/>
      <c r="K962" s="29"/>
      <c r="L962" s="32"/>
      <c r="M962" s="29"/>
      <c r="N962" s="29"/>
      <c r="O962" s="33"/>
      <c r="P962" s="29"/>
      <c r="Q962" s="29"/>
      <c r="R962" s="32"/>
      <c r="S962" s="29"/>
      <c r="T962" s="34"/>
      <c r="U962" s="29"/>
      <c r="V962" s="29"/>
      <c r="W962" s="28"/>
      <c r="X962" s="28"/>
      <c r="Y962" s="35"/>
      <c r="Z962" s="28"/>
      <c r="AA962" s="36"/>
      <c r="AB962" s="36"/>
    </row>
    <row r="963">
      <c r="A963" s="28"/>
      <c r="B963" s="29"/>
      <c r="C963" s="29"/>
      <c r="D963" s="30"/>
      <c r="E963" s="31"/>
      <c r="F963" s="29"/>
      <c r="G963" s="29"/>
      <c r="H963" s="29"/>
      <c r="I963" s="29"/>
      <c r="J963" s="29"/>
      <c r="K963" s="29"/>
      <c r="L963" s="32"/>
      <c r="M963" s="29"/>
      <c r="N963" s="29"/>
      <c r="O963" s="33"/>
      <c r="P963" s="29"/>
      <c r="Q963" s="29"/>
      <c r="R963" s="32"/>
      <c r="S963" s="29"/>
      <c r="T963" s="34"/>
      <c r="U963" s="29"/>
      <c r="V963" s="29"/>
      <c r="W963" s="28"/>
      <c r="X963" s="28"/>
      <c r="Y963" s="35"/>
      <c r="Z963" s="28"/>
      <c r="AA963" s="36"/>
      <c r="AB963" s="36"/>
    </row>
    <row r="964">
      <c r="A964" s="28"/>
      <c r="B964" s="29"/>
      <c r="C964" s="29"/>
      <c r="D964" s="30"/>
      <c r="E964" s="31"/>
      <c r="F964" s="29"/>
      <c r="G964" s="29"/>
      <c r="H964" s="29"/>
      <c r="I964" s="29"/>
      <c r="J964" s="29"/>
      <c r="K964" s="29"/>
      <c r="L964" s="32"/>
      <c r="M964" s="29"/>
      <c r="N964" s="29"/>
      <c r="O964" s="33"/>
      <c r="P964" s="29"/>
      <c r="Q964" s="29"/>
      <c r="R964" s="32"/>
      <c r="S964" s="29"/>
      <c r="T964" s="34"/>
      <c r="U964" s="29"/>
      <c r="V964" s="29"/>
      <c r="W964" s="28"/>
      <c r="X964" s="28"/>
      <c r="Y964" s="35"/>
      <c r="Z964" s="28"/>
      <c r="AA964" s="36"/>
      <c r="AB964" s="36"/>
    </row>
    <row r="965">
      <c r="A965" s="28"/>
      <c r="B965" s="29"/>
      <c r="C965" s="29"/>
      <c r="D965" s="30"/>
      <c r="E965" s="31"/>
      <c r="F965" s="29"/>
      <c r="G965" s="29"/>
      <c r="H965" s="29"/>
      <c r="I965" s="29"/>
      <c r="J965" s="29"/>
      <c r="K965" s="29"/>
      <c r="L965" s="32"/>
      <c r="M965" s="29"/>
      <c r="N965" s="29"/>
      <c r="O965" s="33"/>
      <c r="P965" s="29"/>
      <c r="Q965" s="29"/>
      <c r="R965" s="32"/>
      <c r="S965" s="29"/>
      <c r="T965" s="34"/>
      <c r="U965" s="29"/>
      <c r="V965" s="29"/>
      <c r="W965" s="28"/>
      <c r="X965" s="28"/>
      <c r="Y965" s="35"/>
      <c r="Z965" s="28"/>
      <c r="AA965" s="36"/>
      <c r="AB965" s="36"/>
    </row>
    <row r="966">
      <c r="A966" s="28"/>
      <c r="B966" s="29"/>
      <c r="C966" s="29"/>
      <c r="D966" s="30"/>
      <c r="E966" s="31"/>
      <c r="F966" s="29"/>
      <c r="G966" s="29"/>
      <c r="H966" s="29"/>
      <c r="I966" s="29"/>
      <c r="J966" s="29"/>
      <c r="K966" s="29"/>
      <c r="L966" s="32"/>
      <c r="M966" s="29"/>
      <c r="N966" s="29"/>
      <c r="O966" s="33"/>
      <c r="P966" s="29"/>
      <c r="Q966" s="29"/>
      <c r="R966" s="32"/>
      <c r="S966" s="29"/>
      <c r="T966" s="34"/>
      <c r="U966" s="29"/>
      <c r="V966" s="29"/>
      <c r="W966" s="28"/>
      <c r="X966" s="28"/>
      <c r="Y966" s="35"/>
      <c r="Z966" s="28"/>
      <c r="AA966" s="36"/>
      <c r="AB966" s="36"/>
    </row>
    <row r="967">
      <c r="A967" s="28"/>
      <c r="B967" s="29"/>
      <c r="C967" s="29"/>
      <c r="D967" s="30"/>
      <c r="E967" s="31"/>
      <c r="F967" s="29"/>
      <c r="G967" s="29"/>
      <c r="H967" s="29"/>
      <c r="I967" s="29"/>
      <c r="J967" s="29"/>
      <c r="K967" s="29"/>
      <c r="L967" s="32"/>
      <c r="M967" s="29"/>
      <c r="N967" s="29"/>
      <c r="O967" s="33"/>
      <c r="P967" s="29"/>
      <c r="Q967" s="29"/>
      <c r="R967" s="32"/>
      <c r="S967" s="29"/>
      <c r="T967" s="34"/>
      <c r="U967" s="29"/>
      <c r="V967" s="29"/>
      <c r="W967" s="28"/>
      <c r="X967" s="28"/>
      <c r="Y967" s="35"/>
      <c r="Z967" s="28"/>
      <c r="AA967" s="36"/>
      <c r="AB967" s="36"/>
    </row>
    <row r="968">
      <c r="A968" s="28"/>
      <c r="B968" s="29"/>
      <c r="C968" s="29"/>
      <c r="D968" s="30"/>
      <c r="E968" s="31"/>
      <c r="F968" s="29"/>
      <c r="G968" s="29"/>
      <c r="H968" s="29"/>
      <c r="I968" s="29"/>
      <c r="J968" s="29"/>
      <c r="K968" s="29"/>
      <c r="L968" s="32"/>
      <c r="M968" s="29"/>
      <c r="N968" s="29"/>
      <c r="O968" s="33"/>
      <c r="P968" s="29"/>
      <c r="Q968" s="29"/>
      <c r="R968" s="32"/>
      <c r="S968" s="29"/>
      <c r="T968" s="34"/>
      <c r="U968" s="29"/>
      <c r="V968" s="29"/>
      <c r="W968" s="28"/>
      <c r="X968" s="28"/>
      <c r="Y968" s="35"/>
      <c r="Z968" s="28"/>
      <c r="AA968" s="36"/>
      <c r="AB968" s="36"/>
    </row>
    <row r="969">
      <c r="A969" s="28"/>
      <c r="B969" s="29"/>
      <c r="C969" s="29"/>
      <c r="D969" s="30"/>
      <c r="E969" s="31"/>
      <c r="F969" s="29"/>
      <c r="G969" s="29"/>
      <c r="H969" s="29"/>
      <c r="I969" s="29"/>
      <c r="J969" s="29"/>
      <c r="K969" s="29"/>
      <c r="L969" s="32"/>
      <c r="M969" s="29"/>
      <c r="N969" s="29"/>
      <c r="O969" s="33"/>
      <c r="P969" s="29"/>
      <c r="Q969" s="29"/>
      <c r="R969" s="32"/>
      <c r="S969" s="29"/>
      <c r="T969" s="34"/>
      <c r="U969" s="29"/>
      <c r="V969" s="29"/>
      <c r="W969" s="28"/>
      <c r="X969" s="28"/>
      <c r="Y969" s="35"/>
      <c r="Z969" s="28"/>
      <c r="AA969" s="36"/>
      <c r="AB969" s="36"/>
    </row>
    <row r="970">
      <c r="A970" s="28"/>
      <c r="B970" s="29"/>
      <c r="C970" s="29"/>
      <c r="D970" s="30"/>
      <c r="E970" s="31"/>
      <c r="F970" s="29"/>
      <c r="G970" s="29"/>
      <c r="H970" s="29"/>
      <c r="I970" s="29"/>
      <c r="J970" s="29"/>
      <c r="K970" s="29"/>
      <c r="L970" s="32"/>
      <c r="M970" s="29"/>
      <c r="N970" s="29"/>
      <c r="O970" s="33"/>
      <c r="P970" s="29"/>
      <c r="Q970" s="29"/>
      <c r="R970" s="32"/>
      <c r="S970" s="29"/>
      <c r="T970" s="34"/>
      <c r="U970" s="29"/>
      <c r="V970" s="29"/>
      <c r="W970" s="28"/>
      <c r="X970" s="28"/>
      <c r="Y970" s="35"/>
      <c r="Z970" s="28"/>
      <c r="AA970" s="36"/>
      <c r="AB970" s="36"/>
    </row>
    <row r="971">
      <c r="A971" s="28"/>
      <c r="B971" s="29"/>
      <c r="C971" s="29"/>
      <c r="D971" s="30"/>
      <c r="E971" s="31"/>
      <c r="F971" s="29"/>
      <c r="G971" s="29"/>
      <c r="H971" s="29"/>
      <c r="I971" s="29"/>
      <c r="J971" s="29"/>
      <c r="K971" s="29"/>
      <c r="L971" s="32"/>
      <c r="M971" s="29"/>
      <c r="N971" s="29"/>
      <c r="O971" s="33"/>
      <c r="P971" s="29"/>
      <c r="Q971" s="29"/>
      <c r="R971" s="32"/>
      <c r="S971" s="29"/>
      <c r="T971" s="34"/>
      <c r="U971" s="29"/>
      <c r="V971" s="29"/>
      <c r="W971" s="28"/>
      <c r="X971" s="28"/>
      <c r="Y971" s="35"/>
      <c r="Z971" s="28"/>
      <c r="AA971" s="36"/>
      <c r="AB971" s="36"/>
    </row>
    <row r="972">
      <c r="A972" s="28"/>
      <c r="B972" s="29"/>
      <c r="C972" s="29"/>
      <c r="D972" s="30"/>
      <c r="E972" s="31"/>
      <c r="F972" s="29"/>
      <c r="G972" s="29"/>
      <c r="H972" s="29"/>
      <c r="I972" s="29"/>
      <c r="J972" s="29"/>
      <c r="K972" s="29"/>
      <c r="L972" s="32"/>
      <c r="M972" s="29"/>
      <c r="N972" s="29"/>
      <c r="O972" s="33"/>
      <c r="P972" s="29"/>
      <c r="Q972" s="29"/>
      <c r="R972" s="32"/>
      <c r="S972" s="29"/>
      <c r="T972" s="34"/>
      <c r="U972" s="29"/>
      <c r="V972" s="29"/>
      <c r="W972" s="28"/>
      <c r="X972" s="28"/>
      <c r="Y972" s="35"/>
      <c r="Z972" s="28"/>
      <c r="AA972" s="36"/>
      <c r="AB972" s="36"/>
    </row>
    <row r="973">
      <c r="A973" s="28"/>
      <c r="B973" s="29"/>
      <c r="C973" s="29"/>
      <c r="D973" s="30"/>
      <c r="E973" s="31"/>
      <c r="F973" s="29"/>
      <c r="G973" s="29"/>
      <c r="H973" s="29"/>
      <c r="I973" s="29"/>
      <c r="J973" s="29"/>
      <c r="K973" s="29"/>
      <c r="L973" s="32"/>
      <c r="M973" s="29"/>
      <c r="N973" s="29"/>
      <c r="O973" s="33"/>
      <c r="P973" s="29"/>
      <c r="Q973" s="29"/>
      <c r="R973" s="32"/>
      <c r="S973" s="29"/>
      <c r="T973" s="34"/>
      <c r="U973" s="29"/>
      <c r="V973" s="29"/>
      <c r="W973" s="28"/>
      <c r="X973" s="28"/>
      <c r="Y973" s="35"/>
      <c r="Z973" s="28"/>
      <c r="AA973" s="36"/>
      <c r="AB973" s="36"/>
    </row>
    <row r="974">
      <c r="A974" s="28"/>
      <c r="B974" s="29"/>
      <c r="C974" s="29"/>
      <c r="D974" s="30"/>
      <c r="E974" s="31"/>
      <c r="F974" s="29"/>
      <c r="G974" s="29"/>
      <c r="H974" s="29"/>
      <c r="I974" s="29"/>
      <c r="J974" s="29"/>
      <c r="K974" s="29"/>
      <c r="L974" s="32"/>
      <c r="M974" s="29"/>
      <c r="N974" s="29"/>
      <c r="O974" s="33"/>
      <c r="P974" s="29"/>
      <c r="Q974" s="29"/>
      <c r="R974" s="32"/>
      <c r="S974" s="29"/>
      <c r="T974" s="34"/>
      <c r="U974" s="29"/>
      <c r="V974" s="29"/>
      <c r="W974" s="28"/>
      <c r="X974" s="28"/>
      <c r="Y974" s="35"/>
      <c r="Z974" s="28"/>
      <c r="AA974" s="36"/>
      <c r="AB974" s="36"/>
    </row>
    <row r="975">
      <c r="A975" s="28"/>
      <c r="B975" s="29"/>
      <c r="C975" s="29"/>
      <c r="D975" s="30"/>
      <c r="E975" s="31"/>
      <c r="F975" s="29"/>
      <c r="G975" s="29"/>
      <c r="H975" s="29"/>
      <c r="I975" s="29"/>
      <c r="J975" s="29"/>
      <c r="K975" s="29"/>
      <c r="L975" s="32"/>
      <c r="M975" s="29"/>
      <c r="N975" s="29"/>
      <c r="O975" s="33"/>
      <c r="P975" s="29"/>
      <c r="Q975" s="29"/>
      <c r="R975" s="32"/>
      <c r="S975" s="29"/>
      <c r="T975" s="34"/>
      <c r="U975" s="29"/>
      <c r="V975" s="29"/>
      <c r="W975" s="28"/>
      <c r="X975" s="28"/>
      <c r="Y975" s="35"/>
      <c r="Z975" s="28"/>
      <c r="AA975" s="36"/>
      <c r="AB975" s="36"/>
    </row>
    <row r="976">
      <c r="A976" s="28"/>
      <c r="B976" s="29"/>
      <c r="C976" s="29"/>
      <c r="D976" s="30"/>
      <c r="E976" s="31"/>
      <c r="F976" s="29"/>
      <c r="G976" s="29"/>
      <c r="H976" s="29"/>
      <c r="I976" s="29"/>
      <c r="J976" s="29"/>
      <c r="K976" s="29"/>
      <c r="L976" s="32"/>
      <c r="M976" s="29"/>
      <c r="N976" s="29"/>
      <c r="O976" s="33"/>
      <c r="P976" s="29"/>
      <c r="Q976" s="29"/>
      <c r="R976" s="32"/>
      <c r="S976" s="29"/>
      <c r="T976" s="34"/>
      <c r="U976" s="29"/>
      <c r="V976" s="29"/>
      <c r="W976" s="28"/>
      <c r="X976" s="28"/>
      <c r="Y976" s="35"/>
      <c r="Z976" s="28"/>
      <c r="AA976" s="36"/>
      <c r="AB976" s="36"/>
    </row>
    <row r="977">
      <c r="A977" s="28"/>
      <c r="B977" s="29"/>
      <c r="C977" s="29"/>
      <c r="D977" s="30"/>
      <c r="E977" s="31"/>
      <c r="F977" s="29"/>
      <c r="G977" s="29"/>
      <c r="H977" s="29"/>
      <c r="I977" s="29"/>
      <c r="J977" s="29"/>
      <c r="K977" s="29"/>
      <c r="L977" s="32"/>
      <c r="M977" s="29"/>
      <c r="N977" s="29"/>
      <c r="O977" s="33"/>
      <c r="P977" s="29"/>
      <c r="Q977" s="29"/>
      <c r="R977" s="32"/>
      <c r="S977" s="29"/>
      <c r="T977" s="34"/>
      <c r="U977" s="29"/>
      <c r="V977" s="29"/>
      <c r="W977" s="28"/>
      <c r="X977" s="28"/>
      <c r="Y977" s="35"/>
      <c r="Z977" s="28"/>
      <c r="AA977" s="36"/>
      <c r="AB977" s="36"/>
    </row>
    <row r="978">
      <c r="A978" s="28"/>
      <c r="B978" s="29"/>
      <c r="C978" s="29"/>
      <c r="D978" s="30"/>
      <c r="E978" s="31"/>
      <c r="F978" s="29"/>
      <c r="G978" s="29"/>
      <c r="H978" s="29"/>
      <c r="I978" s="29"/>
      <c r="J978" s="29"/>
      <c r="K978" s="29"/>
      <c r="L978" s="32"/>
      <c r="M978" s="29"/>
      <c r="N978" s="29"/>
      <c r="O978" s="33"/>
      <c r="P978" s="29"/>
      <c r="Q978" s="29"/>
      <c r="R978" s="32"/>
      <c r="S978" s="29"/>
      <c r="T978" s="34"/>
      <c r="U978" s="29"/>
      <c r="V978" s="29"/>
      <c r="W978" s="28"/>
      <c r="X978" s="28"/>
      <c r="Y978" s="35"/>
      <c r="Z978" s="28"/>
      <c r="AA978" s="36"/>
      <c r="AB978" s="36"/>
    </row>
    <row r="979">
      <c r="A979" s="28"/>
      <c r="B979" s="29"/>
      <c r="C979" s="29"/>
      <c r="D979" s="30"/>
      <c r="E979" s="31"/>
      <c r="F979" s="29"/>
      <c r="G979" s="29"/>
      <c r="H979" s="29"/>
      <c r="I979" s="29"/>
      <c r="J979" s="29"/>
      <c r="K979" s="29"/>
      <c r="L979" s="32"/>
      <c r="M979" s="29"/>
      <c r="N979" s="29"/>
      <c r="O979" s="33"/>
      <c r="P979" s="29"/>
      <c r="Q979" s="29"/>
      <c r="R979" s="32"/>
      <c r="S979" s="29"/>
      <c r="T979" s="34"/>
      <c r="U979" s="29"/>
      <c r="V979" s="29"/>
      <c r="W979" s="28"/>
      <c r="X979" s="28"/>
      <c r="Y979" s="35"/>
      <c r="Z979" s="28"/>
      <c r="AA979" s="36"/>
      <c r="AB979" s="36"/>
    </row>
    <row r="980">
      <c r="A980" s="28"/>
      <c r="B980" s="29"/>
      <c r="C980" s="29"/>
      <c r="D980" s="30"/>
      <c r="E980" s="31"/>
      <c r="F980" s="29"/>
      <c r="G980" s="29"/>
      <c r="H980" s="29"/>
      <c r="I980" s="29"/>
      <c r="J980" s="29"/>
      <c r="K980" s="29"/>
      <c r="L980" s="32"/>
      <c r="M980" s="29"/>
      <c r="N980" s="29"/>
      <c r="O980" s="33"/>
      <c r="P980" s="29"/>
      <c r="Q980" s="29"/>
      <c r="R980" s="32"/>
      <c r="S980" s="29"/>
      <c r="T980" s="34"/>
      <c r="U980" s="29"/>
      <c r="V980" s="29"/>
      <c r="W980" s="28"/>
      <c r="X980" s="28"/>
      <c r="Y980" s="35"/>
      <c r="Z980" s="28"/>
      <c r="AA980" s="36"/>
      <c r="AB980" s="36"/>
    </row>
    <row r="981">
      <c r="A981" s="28"/>
      <c r="B981" s="29"/>
      <c r="C981" s="29"/>
      <c r="D981" s="30"/>
      <c r="E981" s="31"/>
      <c r="F981" s="29"/>
      <c r="G981" s="29"/>
      <c r="H981" s="29"/>
      <c r="I981" s="29"/>
      <c r="J981" s="29"/>
      <c r="K981" s="29"/>
      <c r="L981" s="32"/>
      <c r="M981" s="29"/>
      <c r="N981" s="29"/>
      <c r="O981" s="33"/>
      <c r="P981" s="29"/>
      <c r="Q981" s="29"/>
      <c r="R981" s="32"/>
      <c r="S981" s="29"/>
      <c r="T981" s="34"/>
      <c r="U981" s="29"/>
      <c r="V981" s="29"/>
      <c r="W981" s="28"/>
      <c r="X981" s="28"/>
      <c r="Y981" s="35"/>
      <c r="Z981" s="28"/>
      <c r="AA981" s="36"/>
      <c r="AB981" s="36"/>
    </row>
    <row r="982">
      <c r="A982" s="28"/>
      <c r="B982" s="29"/>
      <c r="C982" s="29"/>
      <c r="D982" s="30"/>
      <c r="E982" s="31"/>
      <c r="F982" s="29"/>
      <c r="G982" s="29"/>
      <c r="H982" s="29"/>
      <c r="I982" s="29"/>
      <c r="J982" s="29"/>
      <c r="K982" s="29"/>
      <c r="L982" s="32"/>
      <c r="M982" s="29"/>
      <c r="N982" s="29"/>
      <c r="O982" s="33"/>
      <c r="P982" s="29"/>
      <c r="Q982" s="29"/>
      <c r="R982" s="32"/>
      <c r="S982" s="29"/>
      <c r="T982" s="34"/>
      <c r="U982" s="29"/>
      <c r="V982" s="29"/>
      <c r="W982" s="28"/>
      <c r="X982" s="28"/>
      <c r="Y982" s="35"/>
      <c r="Z982" s="28"/>
      <c r="AA982" s="36"/>
      <c r="AB982" s="36"/>
    </row>
    <row r="983">
      <c r="A983" s="28"/>
      <c r="B983" s="29"/>
      <c r="C983" s="29"/>
      <c r="D983" s="30"/>
      <c r="E983" s="31"/>
      <c r="F983" s="29"/>
      <c r="G983" s="29"/>
      <c r="H983" s="29"/>
      <c r="I983" s="29"/>
      <c r="J983" s="29"/>
      <c r="K983" s="29"/>
      <c r="L983" s="32"/>
      <c r="M983" s="29"/>
      <c r="N983" s="29"/>
      <c r="O983" s="33"/>
      <c r="P983" s="29"/>
      <c r="Q983" s="29"/>
      <c r="R983" s="32"/>
      <c r="S983" s="29"/>
      <c r="T983" s="34"/>
      <c r="U983" s="29"/>
      <c r="V983" s="29"/>
      <c r="W983" s="28"/>
      <c r="X983" s="28"/>
      <c r="Y983" s="35"/>
      <c r="Z983" s="28"/>
      <c r="AA983" s="36"/>
      <c r="AB983" s="36"/>
    </row>
    <row r="984">
      <c r="A984" s="28"/>
      <c r="B984" s="29"/>
      <c r="C984" s="29"/>
      <c r="D984" s="30"/>
      <c r="E984" s="31"/>
      <c r="F984" s="29"/>
      <c r="G984" s="29"/>
      <c r="H984" s="29"/>
      <c r="I984" s="29"/>
      <c r="J984" s="29"/>
      <c r="K984" s="29"/>
      <c r="L984" s="32"/>
      <c r="M984" s="29"/>
      <c r="N984" s="29"/>
      <c r="O984" s="33"/>
      <c r="P984" s="29"/>
      <c r="Q984" s="29"/>
      <c r="R984" s="32"/>
      <c r="S984" s="29"/>
      <c r="T984" s="34"/>
      <c r="U984" s="29"/>
      <c r="V984" s="29"/>
      <c r="W984" s="28"/>
      <c r="X984" s="28"/>
      <c r="Y984" s="35"/>
      <c r="Z984" s="28"/>
      <c r="AA984" s="36"/>
      <c r="AB984" s="36"/>
    </row>
    <row r="985">
      <c r="A985" s="28"/>
      <c r="B985" s="29"/>
      <c r="C985" s="29"/>
      <c r="D985" s="30"/>
      <c r="E985" s="31"/>
      <c r="F985" s="29"/>
      <c r="G985" s="29"/>
      <c r="H985" s="29"/>
      <c r="I985" s="29"/>
      <c r="J985" s="29"/>
      <c r="K985" s="29"/>
      <c r="L985" s="32"/>
      <c r="M985" s="29"/>
      <c r="N985" s="29"/>
      <c r="O985" s="33"/>
      <c r="P985" s="29"/>
      <c r="Q985" s="29"/>
      <c r="R985" s="32"/>
      <c r="S985" s="29"/>
      <c r="T985" s="34"/>
      <c r="U985" s="29"/>
      <c r="V985" s="29"/>
      <c r="W985" s="28"/>
      <c r="X985" s="28"/>
      <c r="Y985" s="35"/>
      <c r="Z985" s="28"/>
      <c r="AA985" s="36"/>
      <c r="AB985" s="36"/>
    </row>
    <row r="986">
      <c r="A986" s="28"/>
      <c r="B986" s="29"/>
      <c r="C986" s="29"/>
      <c r="D986" s="30"/>
      <c r="E986" s="31"/>
      <c r="F986" s="29"/>
      <c r="G986" s="29"/>
      <c r="H986" s="29"/>
      <c r="I986" s="29"/>
      <c r="J986" s="29"/>
      <c r="K986" s="29"/>
      <c r="L986" s="32"/>
      <c r="M986" s="29"/>
      <c r="N986" s="29"/>
      <c r="O986" s="33"/>
      <c r="P986" s="29"/>
      <c r="Q986" s="29"/>
      <c r="R986" s="32"/>
      <c r="S986" s="29"/>
      <c r="T986" s="34"/>
      <c r="U986" s="29"/>
      <c r="V986" s="29"/>
      <c r="W986" s="28"/>
      <c r="X986" s="28"/>
      <c r="Y986" s="35"/>
      <c r="Z986" s="28"/>
      <c r="AA986" s="36"/>
      <c r="AB986" s="36"/>
    </row>
    <row r="987">
      <c r="A987" s="28"/>
      <c r="B987" s="29"/>
      <c r="C987" s="29"/>
      <c r="D987" s="30"/>
      <c r="E987" s="31"/>
      <c r="F987" s="29"/>
      <c r="G987" s="29"/>
      <c r="H987" s="29"/>
      <c r="I987" s="29"/>
      <c r="J987" s="29"/>
      <c r="K987" s="29"/>
      <c r="L987" s="32"/>
      <c r="M987" s="29"/>
      <c r="N987" s="29"/>
      <c r="O987" s="33"/>
      <c r="P987" s="29"/>
      <c r="Q987" s="29"/>
      <c r="R987" s="32"/>
      <c r="S987" s="29"/>
      <c r="T987" s="34"/>
      <c r="U987" s="29"/>
      <c r="V987" s="29"/>
      <c r="W987" s="28"/>
      <c r="X987" s="28"/>
      <c r="Y987" s="35"/>
      <c r="Z987" s="28"/>
      <c r="AA987" s="36"/>
      <c r="AB987" s="36"/>
    </row>
    <row r="988">
      <c r="A988" s="28"/>
      <c r="B988" s="29"/>
      <c r="C988" s="29"/>
      <c r="D988" s="30"/>
      <c r="E988" s="31"/>
      <c r="F988" s="29"/>
      <c r="G988" s="29"/>
      <c r="H988" s="29"/>
      <c r="I988" s="29"/>
      <c r="J988" s="29"/>
      <c r="K988" s="29"/>
      <c r="L988" s="32"/>
      <c r="M988" s="29"/>
      <c r="N988" s="29"/>
      <c r="O988" s="33"/>
      <c r="P988" s="29"/>
      <c r="Q988" s="29"/>
      <c r="R988" s="32"/>
      <c r="S988" s="29"/>
      <c r="T988" s="34"/>
      <c r="U988" s="29"/>
      <c r="V988" s="29"/>
      <c r="W988" s="28"/>
      <c r="X988" s="28"/>
      <c r="Y988" s="35"/>
      <c r="Z988" s="28"/>
      <c r="AA988" s="36"/>
      <c r="AB988" s="36"/>
    </row>
    <row r="989">
      <c r="A989" s="28"/>
      <c r="B989" s="29"/>
      <c r="C989" s="29"/>
      <c r="D989" s="30"/>
      <c r="E989" s="31"/>
      <c r="F989" s="29"/>
      <c r="G989" s="29"/>
      <c r="H989" s="29"/>
      <c r="I989" s="29"/>
      <c r="J989" s="29"/>
      <c r="K989" s="29"/>
      <c r="L989" s="32"/>
      <c r="M989" s="29"/>
      <c r="N989" s="29"/>
      <c r="O989" s="33"/>
      <c r="P989" s="29"/>
      <c r="Q989" s="29"/>
      <c r="R989" s="32"/>
      <c r="S989" s="29"/>
      <c r="T989" s="34"/>
      <c r="U989" s="29"/>
      <c r="V989" s="29"/>
      <c r="W989" s="28"/>
      <c r="X989" s="28"/>
      <c r="Y989" s="35"/>
      <c r="Z989" s="28"/>
      <c r="AA989" s="36"/>
      <c r="AB989" s="36"/>
    </row>
    <row r="990">
      <c r="A990" s="28"/>
      <c r="B990" s="29"/>
      <c r="C990" s="29"/>
      <c r="D990" s="30"/>
      <c r="E990" s="31"/>
      <c r="F990" s="29"/>
      <c r="G990" s="29"/>
      <c r="H990" s="29"/>
      <c r="I990" s="29"/>
      <c r="J990" s="29"/>
      <c r="K990" s="29"/>
      <c r="L990" s="32"/>
      <c r="M990" s="29"/>
      <c r="N990" s="29"/>
      <c r="O990" s="33"/>
      <c r="P990" s="29"/>
      <c r="Q990" s="29"/>
      <c r="R990" s="32"/>
      <c r="S990" s="29"/>
      <c r="T990" s="34"/>
      <c r="U990" s="29"/>
      <c r="V990" s="29"/>
      <c r="W990" s="28"/>
      <c r="X990" s="28"/>
      <c r="Y990" s="35"/>
      <c r="Z990" s="28"/>
      <c r="AA990" s="36"/>
      <c r="AB990" s="36"/>
    </row>
    <row r="991">
      <c r="A991" s="28"/>
      <c r="B991" s="29"/>
      <c r="C991" s="29"/>
      <c r="D991" s="30"/>
      <c r="E991" s="31"/>
      <c r="F991" s="29"/>
      <c r="G991" s="29"/>
      <c r="H991" s="29"/>
      <c r="I991" s="29"/>
      <c r="J991" s="29"/>
      <c r="K991" s="29"/>
      <c r="L991" s="32"/>
      <c r="M991" s="29"/>
      <c r="N991" s="29"/>
      <c r="O991" s="33"/>
      <c r="P991" s="29"/>
      <c r="Q991" s="29"/>
      <c r="R991" s="32"/>
      <c r="S991" s="29"/>
      <c r="T991" s="34"/>
      <c r="U991" s="29"/>
      <c r="V991" s="29"/>
      <c r="W991" s="28"/>
      <c r="X991" s="28"/>
      <c r="Y991" s="35"/>
      <c r="Z991" s="28"/>
      <c r="AA991" s="36"/>
      <c r="AB991" s="36"/>
    </row>
    <row r="992">
      <c r="A992" s="28"/>
      <c r="B992" s="29"/>
      <c r="C992" s="29"/>
      <c r="D992" s="30"/>
      <c r="E992" s="31"/>
      <c r="F992" s="29"/>
      <c r="G992" s="29"/>
      <c r="H992" s="29"/>
      <c r="I992" s="29"/>
      <c r="J992" s="29"/>
      <c r="K992" s="29"/>
      <c r="L992" s="32"/>
      <c r="M992" s="29"/>
      <c r="N992" s="29"/>
      <c r="O992" s="33"/>
      <c r="P992" s="29"/>
      <c r="Q992" s="29"/>
      <c r="R992" s="32"/>
      <c r="S992" s="29"/>
      <c r="T992" s="34"/>
      <c r="U992" s="29"/>
      <c r="V992" s="29"/>
      <c r="W992" s="28"/>
      <c r="X992" s="28"/>
      <c r="Y992" s="35"/>
      <c r="Z992" s="28"/>
      <c r="AA992" s="36"/>
      <c r="AB992" s="36"/>
    </row>
    <row r="993">
      <c r="A993" s="28"/>
      <c r="B993" s="29"/>
      <c r="C993" s="29"/>
      <c r="D993" s="30"/>
      <c r="E993" s="31"/>
      <c r="F993" s="29"/>
      <c r="G993" s="29"/>
      <c r="H993" s="29"/>
      <c r="I993" s="29"/>
      <c r="J993" s="29"/>
      <c r="K993" s="29"/>
      <c r="L993" s="32"/>
      <c r="M993" s="29"/>
      <c r="N993" s="29"/>
      <c r="O993" s="33"/>
      <c r="P993" s="29"/>
      <c r="Q993" s="29"/>
      <c r="R993" s="32"/>
      <c r="S993" s="29"/>
      <c r="T993" s="34"/>
      <c r="U993" s="29"/>
      <c r="V993" s="29"/>
      <c r="W993" s="28"/>
      <c r="X993" s="28"/>
      <c r="Y993" s="35"/>
      <c r="Z993" s="28"/>
      <c r="AA993" s="36"/>
      <c r="AB993" s="36"/>
    </row>
    <row r="994">
      <c r="A994" s="28"/>
      <c r="B994" s="29"/>
      <c r="C994" s="29"/>
      <c r="D994" s="30"/>
      <c r="E994" s="31"/>
      <c r="F994" s="29"/>
      <c r="G994" s="29"/>
      <c r="H994" s="29"/>
      <c r="I994" s="29"/>
      <c r="J994" s="29"/>
      <c r="K994" s="29"/>
      <c r="L994" s="32"/>
      <c r="M994" s="29"/>
      <c r="N994" s="29"/>
      <c r="O994" s="33"/>
      <c r="P994" s="29"/>
      <c r="Q994" s="29"/>
      <c r="R994" s="32"/>
      <c r="S994" s="29"/>
      <c r="T994" s="34"/>
      <c r="U994" s="29"/>
      <c r="V994" s="29"/>
      <c r="W994" s="28"/>
      <c r="X994" s="28"/>
      <c r="Y994" s="35"/>
      <c r="Z994" s="28"/>
      <c r="AA994" s="36"/>
      <c r="AB994" s="36"/>
    </row>
    <row r="995">
      <c r="A995" s="28"/>
      <c r="B995" s="29"/>
      <c r="C995" s="29"/>
      <c r="D995" s="30"/>
      <c r="E995" s="31"/>
      <c r="F995" s="29"/>
      <c r="G995" s="29"/>
      <c r="H995" s="29"/>
      <c r="I995" s="29"/>
      <c r="J995" s="29"/>
      <c r="K995" s="29"/>
      <c r="L995" s="32"/>
      <c r="M995" s="29"/>
      <c r="N995" s="29"/>
      <c r="O995" s="33"/>
      <c r="P995" s="29"/>
      <c r="Q995" s="29"/>
      <c r="R995" s="32"/>
      <c r="S995" s="29"/>
      <c r="T995" s="34"/>
      <c r="U995" s="29"/>
      <c r="V995" s="29"/>
      <c r="W995" s="28"/>
      <c r="X995" s="28"/>
      <c r="Y995" s="35"/>
      <c r="Z995" s="28"/>
      <c r="AA995" s="36"/>
      <c r="AB995" s="36"/>
    </row>
    <row r="996">
      <c r="A996" s="28"/>
      <c r="B996" s="29"/>
      <c r="C996" s="29"/>
      <c r="D996" s="30"/>
      <c r="E996" s="31"/>
      <c r="F996" s="29"/>
      <c r="G996" s="29"/>
      <c r="H996" s="29"/>
      <c r="I996" s="29"/>
      <c r="J996" s="29"/>
      <c r="K996" s="29"/>
      <c r="L996" s="32"/>
      <c r="M996" s="29"/>
      <c r="N996" s="29"/>
      <c r="O996" s="33"/>
      <c r="P996" s="29"/>
      <c r="Q996" s="29"/>
      <c r="R996" s="32"/>
      <c r="S996" s="29"/>
      <c r="T996" s="34"/>
      <c r="U996" s="29"/>
      <c r="V996" s="29"/>
      <c r="W996" s="28"/>
      <c r="X996" s="28"/>
      <c r="Y996" s="35"/>
      <c r="Z996" s="28"/>
      <c r="AA996" s="36"/>
      <c r="AB996" s="36"/>
    </row>
    <row r="997">
      <c r="A997" s="28"/>
      <c r="B997" s="29"/>
      <c r="C997" s="29"/>
      <c r="D997" s="30"/>
      <c r="E997" s="31"/>
      <c r="F997" s="29"/>
      <c r="G997" s="29"/>
      <c r="H997" s="29"/>
      <c r="I997" s="29"/>
      <c r="J997" s="29"/>
      <c r="K997" s="29"/>
      <c r="L997" s="32"/>
      <c r="M997" s="29"/>
      <c r="N997" s="29"/>
      <c r="O997" s="33"/>
      <c r="P997" s="29"/>
      <c r="Q997" s="29"/>
      <c r="R997" s="32"/>
      <c r="S997" s="29"/>
      <c r="T997" s="34"/>
      <c r="U997" s="29"/>
      <c r="V997" s="29"/>
      <c r="W997" s="28"/>
      <c r="X997" s="28"/>
      <c r="Y997" s="35"/>
      <c r="Z997" s="28"/>
      <c r="AA997" s="36"/>
      <c r="AB997" s="36"/>
    </row>
    <row r="998">
      <c r="A998" s="28"/>
      <c r="B998" s="29"/>
      <c r="C998" s="29"/>
      <c r="D998" s="30"/>
      <c r="E998" s="31"/>
      <c r="F998" s="29"/>
      <c r="G998" s="29"/>
      <c r="H998" s="29"/>
      <c r="I998" s="29"/>
      <c r="J998" s="29"/>
      <c r="K998" s="29"/>
      <c r="L998" s="32"/>
      <c r="M998" s="29"/>
      <c r="N998" s="29"/>
      <c r="O998" s="33"/>
      <c r="P998" s="29"/>
      <c r="Q998" s="29"/>
      <c r="R998" s="32"/>
      <c r="S998" s="29"/>
      <c r="T998" s="34"/>
      <c r="U998" s="29"/>
      <c r="V998" s="29"/>
      <c r="W998" s="28"/>
      <c r="X998" s="28"/>
      <c r="Y998" s="35"/>
      <c r="Z998" s="28"/>
      <c r="AA998" s="36"/>
      <c r="AB998" s="36"/>
    </row>
  </sheetData>
  <hyperlinks>
    <hyperlink r:id="rId1" ref="X2"/>
    <hyperlink r:id="rId2" ref="Y2"/>
    <hyperlink r:id="rId3" ref="X3"/>
    <hyperlink r:id="rId4" ref="Y3"/>
    <hyperlink r:id="rId5" ref="X4"/>
    <hyperlink r:id="rId6" ref="Y4"/>
    <hyperlink r:id="rId7" ref="X5"/>
    <hyperlink r:id="rId8" ref="Y5"/>
    <hyperlink r:id="rId9" ref="X6"/>
    <hyperlink r:id="rId10" ref="Y6"/>
    <hyperlink r:id="rId11" ref="X7"/>
    <hyperlink r:id="rId12" ref="Y7"/>
    <hyperlink r:id="rId13" ref="X8"/>
    <hyperlink r:id="rId14" ref="Y8"/>
    <hyperlink r:id="rId15" ref="X9"/>
    <hyperlink r:id="rId16" ref="Y9"/>
    <hyperlink r:id="rId17" ref="X10"/>
    <hyperlink r:id="rId18" ref="Y10"/>
    <hyperlink r:id="rId19" ref="X11"/>
    <hyperlink r:id="rId20" ref="Y11"/>
    <hyperlink r:id="rId21" ref="X12"/>
    <hyperlink r:id="rId22" ref="Y12"/>
    <hyperlink r:id="rId23" ref="X13"/>
    <hyperlink r:id="rId24" ref="Y13"/>
    <hyperlink r:id="rId25" ref="X14"/>
    <hyperlink r:id="rId26" ref="Y14"/>
    <hyperlink r:id="rId27" ref="X15"/>
    <hyperlink r:id="rId28" ref="Y15"/>
    <hyperlink r:id="rId29" ref="X16"/>
    <hyperlink r:id="rId30" ref="Y16"/>
    <hyperlink r:id="rId31" ref="X17"/>
    <hyperlink r:id="rId32" ref="Y17"/>
    <hyperlink r:id="rId33" ref="X18"/>
    <hyperlink r:id="rId34" ref="Y18"/>
    <hyperlink r:id="rId35" ref="X19"/>
    <hyperlink r:id="rId36" ref="Y19"/>
    <hyperlink r:id="rId37" ref="X20"/>
    <hyperlink r:id="rId38" ref="Y20"/>
    <hyperlink r:id="rId39" ref="X21"/>
    <hyperlink r:id="rId40" ref="Y21"/>
    <hyperlink r:id="rId41" ref="X22"/>
    <hyperlink r:id="rId42" ref="Y22"/>
    <hyperlink r:id="rId43" ref="X23"/>
    <hyperlink r:id="rId44" ref="Y23"/>
    <hyperlink r:id="rId45" ref="X24"/>
    <hyperlink r:id="rId46" ref="Y24"/>
    <hyperlink r:id="rId47" ref="X25"/>
    <hyperlink r:id="rId48" ref="Y25"/>
    <hyperlink r:id="rId49" ref="X26"/>
    <hyperlink r:id="rId50" ref="Y26"/>
    <hyperlink r:id="rId51" ref="X27"/>
    <hyperlink r:id="rId52" ref="X28"/>
    <hyperlink r:id="rId53" ref="X29"/>
    <hyperlink r:id="rId54" ref="X30"/>
    <hyperlink r:id="rId55" ref="Y30"/>
    <hyperlink r:id="rId56" ref="X31"/>
    <hyperlink r:id="rId57" ref="Y31"/>
    <hyperlink r:id="rId58" ref="X32"/>
    <hyperlink r:id="rId59" ref="Y32"/>
    <hyperlink r:id="rId60" ref="X33"/>
    <hyperlink r:id="rId61" ref="Y33"/>
    <hyperlink r:id="rId62" ref="X34"/>
    <hyperlink r:id="rId63" ref="Y34"/>
    <hyperlink r:id="rId64" ref="X35"/>
    <hyperlink r:id="rId65" ref="Y35"/>
    <hyperlink r:id="rId66" ref="X36"/>
    <hyperlink r:id="rId67" ref="Y36"/>
    <hyperlink r:id="rId68" ref="X37"/>
    <hyperlink r:id="rId69" ref="Y37"/>
    <hyperlink r:id="rId70" ref="X38"/>
    <hyperlink r:id="rId71" ref="Y38"/>
    <hyperlink r:id="rId72" ref="X39"/>
    <hyperlink r:id="rId73" ref="Y39"/>
    <hyperlink r:id="rId74" ref="X40"/>
    <hyperlink r:id="rId75" ref="Y40"/>
    <hyperlink r:id="rId76" ref="X41"/>
    <hyperlink r:id="rId77" ref="Y41"/>
    <hyperlink r:id="rId78" ref="X42"/>
    <hyperlink r:id="rId79" ref="Y42"/>
    <hyperlink r:id="rId80" ref="X43"/>
    <hyperlink r:id="rId81" ref="Y43"/>
    <hyperlink r:id="rId82" ref="X44"/>
    <hyperlink r:id="rId83" ref="Y44"/>
    <hyperlink r:id="rId84" ref="X45"/>
    <hyperlink r:id="rId85" ref="Y45"/>
    <hyperlink r:id="rId86" ref="X46"/>
    <hyperlink r:id="rId87" ref="Y46"/>
    <hyperlink r:id="rId88" ref="X47"/>
    <hyperlink r:id="rId89" ref="Y47"/>
    <hyperlink r:id="rId90" ref="X48"/>
    <hyperlink r:id="rId91" ref="Y48"/>
    <hyperlink r:id="rId92" ref="X49"/>
    <hyperlink r:id="rId93" ref="Y49"/>
    <hyperlink r:id="rId94" ref="X50"/>
    <hyperlink r:id="rId95" ref="Y50"/>
    <hyperlink r:id="rId96" ref="X51"/>
    <hyperlink r:id="rId97" ref="Y51"/>
    <hyperlink r:id="rId98" ref="X52"/>
    <hyperlink r:id="rId99" ref="Y52"/>
    <hyperlink r:id="rId100" ref="X53"/>
    <hyperlink r:id="rId101" ref="Y53"/>
    <hyperlink r:id="rId102" ref="X54"/>
    <hyperlink r:id="rId103" ref="X55"/>
    <hyperlink r:id="rId104" ref="Y55"/>
    <hyperlink r:id="rId105" ref="X56"/>
    <hyperlink r:id="rId106" ref="Y56"/>
    <hyperlink r:id="rId107" ref="X57"/>
    <hyperlink r:id="rId108" ref="Y57"/>
    <hyperlink r:id="rId109" ref="X58"/>
    <hyperlink r:id="rId110" ref="Y58"/>
    <hyperlink r:id="rId111" ref="X59"/>
    <hyperlink r:id="rId112" ref="Y59"/>
    <hyperlink r:id="rId113" ref="X60"/>
    <hyperlink r:id="rId114" ref="Y60"/>
    <hyperlink r:id="rId115" ref="X61"/>
    <hyperlink r:id="rId116" ref="Y61"/>
    <hyperlink r:id="rId117" ref="X62"/>
    <hyperlink r:id="rId118" ref="Y62"/>
    <hyperlink r:id="rId119" ref="X63"/>
    <hyperlink r:id="rId120" ref="Y63"/>
    <hyperlink r:id="rId121" ref="X64"/>
    <hyperlink r:id="rId122" ref="Y64"/>
    <hyperlink r:id="rId123" ref="X65"/>
    <hyperlink r:id="rId124" ref="Y65"/>
    <hyperlink r:id="rId125" ref="X66"/>
    <hyperlink r:id="rId126" ref="Y66"/>
    <hyperlink r:id="rId127" ref="X67"/>
    <hyperlink r:id="rId128" ref="Y67"/>
    <hyperlink r:id="rId129" ref="X68"/>
    <hyperlink r:id="rId130" ref="Y68"/>
    <hyperlink r:id="rId131" ref="X69"/>
    <hyperlink r:id="rId132" ref="Y69"/>
    <hyperlink r:id="rId133" ref="X70"/>
    <hyperlink r:id="rId134" ref="Y70"/>
    <hyperlink r:id="rId135" ref="X71"/>
    <hyperlink r:id="rId136" ref="Y71"/>
    <hyperlink r:id="rId137" ref="X72"/>
    <hyperlink r:id="rId138" ref="Y72"/>
    <hyperlink r:id="rId139" ref="X73"/>
    <hyperlink r:id="rId140" ref="Y73"/>
    <hyperlink r:id="rId141" ref="X74"/>
    <hyperlink r:id="rId142" ref="Y74"/>
    <hyperlink r:id="rId143" ref="X75"/>
    <hyperlink r:id="rId144" ref="Y75"/>
    <hyperlink r:id="rId145" ref="X76"/>
    <hyperlink r:id="rId146" ref="Y76"/>
    <hyperlink r:id="rId147" ref="X77"/>
    <hyperlink r:id="rId148" ref="Y77"/>
    <hyperlink r:id="rId149" ref="X78"/>
    <hyperlink r:id="rId150" ref="Y78"/>
    <hyperlink r:id="rId151" ref="X79"/>
    <hyperlink r:id="rId152" ref="Y79"/>
    <hyperlink r:id="rId153" ref="X80"/>
    <hyperlink r:id="rId154" ref="Y80"/>
    <hyperlink r:id="rId155" ref="X81"/>
    <hyperlink r:id="rId156" ref="Y81"/>
    <hyperlink r:id="rId157" ref="X82"/>
    <hyperlink r:id="rId158" ref="X83"/>
    <hyperlink r:id="rId159" ref="Y83"/>
    <hyperlink r:id="rId160" ref="X84"/>
    <hyperlink r:id="rId161" ref="Y84"/>
    <hyperlink r:id="rId162" ref="X85"/>
    <hyperlink r:id="rId163" ref="Y85"/>
    <hyperlink r:id="rId164" ref="X86"/>
    <hyperlink r:id="rId165" ref="Y86"/>
    <hyperlink r:id="rId166" ref="X87"/>
    <hyperlink r:id="rId167" ref="Y87"/>
    <hyperlink r:id="rId168" ref="X88"/>
    <hyperlink r:id="rId169" ref="Y88"/>
    <hyperlink r:id="rId170" ref="X89"/>
    <hyperlink r:id="rId171" ref="Y89"/>
    <hyperlink r:id="rId172" ref="X90"/>
    <hyperlink r:id="rId173" ref="Y90"/>
    <hyperlink r:id="rId174" ref="X91"/>
    <hyperlink r:id="rId175" ref="Y91"/>
    <hyperlink r:id="rId176" ref="X92"/>
    <hyperlink r:id="rId177" ref="Y92"/>
    <hyperlink r:id="rId178" ref="X93"/>
    <hyperlink r:id="rId179" ref="Y93"/>
    <hyperlink r:id="rId180" ref="X94"/>
    <hyperlink r:id="rId181" ref="Y94"/>
    <hyperlink r:id="rId182" ref="X95"/>
    <hyperlink r:id="rId183" ref="Y95"/>
    <hyperlink r:id="rId184" ref="X96"/>
    <hyperlink r:id="rId185" ref="Y96"/>
    <hyperlink r:id="rId186" ref="X97"/>
    <hyperlink r:id="rId187" ref="Y97"/>
    <hyperlink r:id="rId188" ref="X98"/>
    <hyperlink r:id="rId189" ref="Y98"/>
    <hyperlink r:id="rId190" ref="X99"/>
    <hyperlink r:id="rId191" ref="Y99"/>
    <hyperlink r:id="rId192" ref="X100"/>
    <hyperlink r:id="rId193" ref="Y100"/>
    <hyperlink r:id="rId194" ref="X101"/>
    <hyperlink r:id="rId195" ref="Y101"/>
    <hyperlink r:id="rId196" ref="X102"/>
    <hyperlink r:id="rId197" ref="X103"/>
    <hyperlink r:id="rId198" ref="Y103"/>
    <hyperlink r:id="rId199" ref="X104"/>
    <hyperlink r:id="rId200" ref="Y104"/>
    <hyperlink r:id="rId201" ref="X105"/>
    <hyperlink r:id="rId202" ref="Y105"/>
    <hyperlink r:id="rId203" ref="X106"/>
    <hyperlink r:id="rId204" ref="Y106"/>
    <hyperlink r:id="rId205" ref="X107"/>
    <hyperlink r:id="rId206" ref="Y107"/>
    <hyperlink r:id="rId207" ref="X108"/>
    <hyperlink r:id="rId208" ref="Y108"/>
    <hyperlink r:id="rId209" ref="X109"/>
    <hyperlink r:id="rId210" ref="Y109"/>
    <hyperlink r:id="rId211" ref="X110"/>
    <hyperlink r:id="rId212" ref="Y110"/>
    <hyperlink r:id="rId213" ref="X111"/>
    <hyperlink r:id="rId214" ref="Y111"/>
    <hyperlink r:id="rId215" ref="X112"/>
    <hyperlink r:id="rId216" ref="Y112"/>
    <hyperlink r:id="rId217" ref="X113"/>
    <hyperlink r:id="rId218" ref="Y113"/>
    <hyperlink r:id="rId219" ref="X114"/>
    <hyperlink r:id="rId220" ref="Y114"/>
    <hyperlink r:id="rId221" ref="X115"/>
    <hyperlink r:id="rId222" ref="Y115"/>
    <hyperlink r:id="rId223" ref="X116"/>
    <hyperlink r:id="rId224" ref="Y116"/>
    <hyperlink r:id="rId225" ref="X117"/>
    <hyperlink r:id="rId226" ref="Y117"/>
    <hyperlink r:id="rId227" ref="X118"/>
    <hyperlink r:id="rId228" ref="Y118"/>
    <hyperlink r:id="rId229" ref="X119"/>
    <hyperlink r:id="rId230" ref="Y119"/>
    <hyperlink r:id="rId231" ref="X120"/>
    <hyperlink r:id="rId232" ref="Y120"/>
  </hyperlinks>
  <drawing r:id="rId233"/>
</worksheet>
</file>